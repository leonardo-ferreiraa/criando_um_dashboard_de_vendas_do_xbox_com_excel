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IDIA\Desktop\Projetos\DIO\Excel\Dashboard de Vendas do Xbox\criando_um_dashboard_de_vendas_do_xbox_com_excel\ferramenta\"/>
    </mc:Choice>
  </mc:AlternateContent>
  <bookViews>
    <workbookView xWindow="0" yWindow="0" windowWidth="28800" windowHeight="13620" firstSheet="1" activeTab="3"/>
  </bookViews>
  <sheets>
    <sheet name="A̳ssets" sheetId="1" state="hidden" r:id="rId1"/>
    <sheet name="B̳ases" sheetId="2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3" l="1"/>
  <c r="F45" i="3"/>
</calcChain>
</file>

<file path=xl/sharedStrings.xml><?xml version="1.0" encoding="utf-8"?>
<sst xmlns="http://schemas.openxmlformats.org/spreadsheetml/2006/main" count="2055" uniqueCount="331">
  <si>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</si>
  <si>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</si>
  <si>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</si>
  <si>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</si>
  <si>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</si>
  <si>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</si>
  <si>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</si>
  <si>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</si>
  <si>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</si>
  <si>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</si>
  <si>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</si>
  <si>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</si>
  <si>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</si>
  <si>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</si>
  <si>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</si>
  <si>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</si>
  <si>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</si>
  <si>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</si>
  <si>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</si>
  <si>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</si>
  <si>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</si>
  <si>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</si>
  <si>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</si>
  <si>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</si>
  <si>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</si>
  <si>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</si>
  <si>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</si>
  <si>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</si>
  <si>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</si>
  <si>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</si>
  <si>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</si>
  <si>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</si>
  <si>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</si>
  <si>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</si>
  <si>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</si>
  <si>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</si>
  <si>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</si>
  <si>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</si>
  <si>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</si>
  <si>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</si>
  <si>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</si>
  <si>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</si>
  <si>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</si>
  <si>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</si>
  <si>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</si>
  <si>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</si>
  <si>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</si>
  <si>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</si>
  <si>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</si>
  <si>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</si>
  <si>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</si>
  <si>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</si>
  <si>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</si>
  <si>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</si>
  <si>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</si>
  <si>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</si>
  <si>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</si>
  <si>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</si>
  <si>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</si>
  <si>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</si>
  <si>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</si>
  <si>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</si>
  <si>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</si>
  <si>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</si>
  <si>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</si>
  <si>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</si>
  <si>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</si>
  <si>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</si>
  <si>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</si>
  <si>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</si>
  <si>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</si>
  <si>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</si>
  <si>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</si>
  <si>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</si>
  <si>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</si>
  <si>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</si>
  <si>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</si>
  <si>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</si>
  <si>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</si>
  <si>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</si>
  <si>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</si>
  <si>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</si>
  <si>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</si>
  <si>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</si>
  <si>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</si>
  <si>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</si>
  <si>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</si>
  <si>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</si>
  <si>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</si>
  <si>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</si>
  <si>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</si>
  <si>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</si>
  <si>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</si>
  <si>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</si>
  <si>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</si>
  <si>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</si>
  <si>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</si>
  <si>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</si>
  <si>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</si>
  <si>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</si>
  <si>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</si>
  <si>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</si>
  <si>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</si>
  <si>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</si>
  <si>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</si>
  <si>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</si>
  <si>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</si>
  <si>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</si>
  <si>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</si>
  <si>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</si>
  <si>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</si>
  <si>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</si>
  <si>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</si>
  <si>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</si>
  <si>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</si>
  <si>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</si>
  <si>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</si>
  <si>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</si>
  <si>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</si>
  <si>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</si>
  <si>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</si>
  <si>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</si>
  <si>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</si>
  <si>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</si>
  <si>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</si>
  <si>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</si>
  <si>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</si>
  <si>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</si>
  <si>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</si>
  <si>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</si>
  <si>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</si>
  <si>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</si>
  <si>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</si>
  <si>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</si>
  <si>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</si>
  <si>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</si>
  <si>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</si>
  <si>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</si>
  <si>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</si>
  <si>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</si>
  <si>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</si>
  <si>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</si>
  <si>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</si>
  <si>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</si>
  <si>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</si>
  <si>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</si>
  <si>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</si>
  <si>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</si>
  <si>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</si>
  <si>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</si>
  <si>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</si>
  <si>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</si>
  <si>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</si>
  <si>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</si>
  <si>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</si>
  <si>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</si>
  <si>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</si>
  <si>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</si>
  <si>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</si>
  <si>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</si>
  <si>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</si>
  <si>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</si>
  <si>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</si>
  <si>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</si>
  <si>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</si>
  <si>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</si>
  <si>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</si>
  <si>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</si>
  <si>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</si>
  <si>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</si>
  <si>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</si>
  <si>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</si>
  <si>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</si>
  <si>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</si>
  <si>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</si>
  <si>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</si>
  <si>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</si>
  <si>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</si>
  <si>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</si>
  <si>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</si>
  <si>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</si>
  <si>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</si>
  <si>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</si>
  <si>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</si>
  <si>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</si>
  <si>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</si>
  <si>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</si>
  <si>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</si>
  <si>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</si>
  <si>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</si>
  <si>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</si>
  <si>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</si>
  <si>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</si>
  <si>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</si>
  <si>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</si>
  <si>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</si>
  <si>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</si>
  <si>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</si>
  <si>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</si>
  <si>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</si>
  <si>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</si>
  <si>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</si>
  <si>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</si>
  <si>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</si>
  <si>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</si>
  <si>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</si>
  <si>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</si>
  <si>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</si>
  <si>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</si>
  <si>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</si>
  <si>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</si>
  <si>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</si>
  <si>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</si>
  <si>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</si>
  <si>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</si>
  <si>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</si>
  <si>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</si>
  <si>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</si>
  <si>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</si>
  <si>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</si>
  <si>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</si>
  <si>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</si>
  <si>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</si>
  <si>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</si>
  <si>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</si>
  <si>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</si>
  <si>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</si>
  <si>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</si>
  <si>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</si>
  <si>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</si>
  <si>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</si>
  <si>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</si>
  <si>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</si>
  <si>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</si>
  <si>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</si>
  <si>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</si>
  <si>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</si>
  <si>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</si>
  <si>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</si>
  <si>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</si>
  <si>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</si>
  <si>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</si>
  <si>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</si>
  <si>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</si>
  <si>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</si>
  <si>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</si>
  <si>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</si>
  <si>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</si>
  <si>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</si>
  <si>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</si>
  <si>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</si>
  <si>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</si>
  <si>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</si>
  <si>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</si>
  <si>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</si>
  <si>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</si>
  <si>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</si>
  <si>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</si>
  <si>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</si>
  <si>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</si>
  <si>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</si>
  <si>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</si>
  <si>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</si>
  <si>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</si>
  <si>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</si>
  <si>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</si>
  <si>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</si>
  <si>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</si>
  <si>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</si>
  <si>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</si>
  <si>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</si>
  <si>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</si>
  <si>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</si>
  <si>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</si>
  <si>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</si>
  <si>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</si>
  <si>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</si>
  <si>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</si>
  <si>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</si>
  <si>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</si>
  <si>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</si>
  <si>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</si>
  <si>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</si>
  <si>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</si>
  <si>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</si>
  <si>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</si>
  <si>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</si>
  <si>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</si>
  <si>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</si>
  <si>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</si>
  <si>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</si>
  <si>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</si>
  <si>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</si>
  <si>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</si>
  <si>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</si>
  <si>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</si>
  <si>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</si>
  <si>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</si>
  <si>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</si>
  <si>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</si>
  <si>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</si>
  <si>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</si>
  <si>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</si>
  <si>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</si>
  <si>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</si>
  <si>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</si>
  <si>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</si>
  <si>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</si>
  <si>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</si>
  <si>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</si>
  <si>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</si>
  <si>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</si>
  <si>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</si>
  <si>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Perguntas de negócio</t>
  </si>
  <si>
    <t>2 - Qual o faturamento Total de venda em planos anuais, separando por auto renovação não é por auto renovação</t>
  </si>
  <si>
    <t>1 - Qual o faturamento Total de venda em planos anuais (contendo todas as assinaturas agregadas)</t>
  </si>
  <si>
    <t>Rótulos de Linha</t>
  </si>
  <si>
    <t>Total Geral</t>
  </si>
  <si>
    <t>Soma de Total Value</t>
  </si>
  <si>
    <t>Média de Total Value</t>
  </si>
  <si>
    <t>XBOX GAME PASS SUBSCRIPTIONS SALES</t>
  </si>
  <si>
    <t>Soma de EA Play Season Pass</t>
  </si>
  <si>
    <t>Soma de Minecraft Season Pass Price</t>
  </si>
  <si>
    <t>3 - Total de vendas do EA Play</t>
  </si>
  <si>
    <t>4 - Total de vendas do Minecraft</t>
  </si>
  <si>
    <t xml:space="preserve">5 - Qual o faturamento total proveniente de assinaturas que incluem o EA Play Season Pass, comparando clientes com e sem Auto Renewal?  </t>
  </si>
  <si>
    <t>6 - Qual o impacto médio dos cupons (Coupon Value) na redução do faturamento total, considerando assinaturas mensais versus anuais?</t>
  </si>
  <si>
    <t>7 - Qual o faturamento total agregado das assinaturas que incluem o Minecraft Season Pass, separando por tipo de assinatura (Subscription Type) e destacando o preço médio pago por cliente?</t>
  </si>
  <si>
    <t>Faturamento total</t>
  </si>
  <si>
    <t>Desconto total</t>
  </si>
  <si>
    <t># 3C7D22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</si>
</sst>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2C"/>
      <name val="Aptos Narrow"/>
      <family val="2"/>
      <scheme val="minor"/>
    </font>
    <font>
      <b/>
      <sz val="15"/>
      <color rgb="FF3C7D2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8E9EF"/>
        <bgColor indexed="64"/>
      </patternFill>
    </fill>
    <fill>
      <patternFill patternType="solid">
        <fgColor rgb="FF3C7D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 tint="-0.2499465926084170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4" fillId="0" borderId="2" xfId="1" applyFont="1" applyBorder="1"/>
    <xf numFmtId="0" fontId="0" fillId="0" borderId="2" xfId="0" applyBorder="1"/>
    <xf numFmtId="0" fontId="5" fillId="0" borderId="2" xfId="1" applyFont="1" applyBorder="1"/>
  </cellXfs>
  <cellStyles count="3">
    <cellStyle name="Moeda" xfId="2" builtinId="4"/>
    <cellStyle name="Normal" xfId="0" builtinId="0"/>
    <cellStyle name="Título 1" xfId="1" builtinId="16"/>
  </cellStyles>
  <dxfs count="38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  <name val="Segoe UI"/>
        <scheme val="none"/>
      </font>
      <fill>
        <patternFill>
          <fgColor theme="0"/>
          <bgColor rgb="FF3C7D22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theme="1"/>
          <bgColor rgb="FF3C7D22"/>
        </patternFill>
      </fill>
      <border>
        <vertical/>
        <horizontal/>
      </border>
    </dxf>
  </dxfs>
  <tableStyles count="1" defaultTableStyle="TableStyleMedium2" defaultPivotStyle="PivotStyleLight16">
    <tableStyle name="SlicerStyleDark6 2" pivot="0" table="0" count="10">
      <tableStyleElement type="wholeTable" dxfId="37"/>
      <tableStyleElement type="headerRow" dxfId="36"/>
    </tableStyle>
  </tableStyles>
  <colors>
    <mruColors>
      <color rgb="FF22C52C"/>
      <color rgb="FF22C55E"/>
      <color rgb="FF3C7D22"/>
      <color rgb="FF5BF6A8"/>
      <color rgb="FFE8E9EF"/>
      <color rgb="FF9BC848"/>
      <color rgb="FFE8E6E9"/>
      <color rgb="FF000000"/>
      <color rgb="FFE0E0E0"/>
      <color rgb="FFEDEDED"/>
    </mruColors>
  </colors>
  <extLst>
    <ext xmlns:x14="http://schemas.microsoft.com/office/spreadsheetml/2009/9/main" uri="{46F421CA-312F-682f-3DD2-61675219B42D}">
      <x14:dxfs count="8">
        <dxf>
          <font>
            <color rgb="FF000000"/>
            <name val="Segoe UI"/>
            <scheme val="none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  <name val="Segoe UI"/>
            <scheme val="none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  <name val="Segoe UI"/>
            <scheme val="none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  <name val="Segoe UI"/>
            <scheme val="none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  <name val="Segoe UI"/>
            <scheme val="none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  <name val="Segoe UI"/>
            <scheme val="none"/>
          </font>
          <fill>
            <patternFill patternType="solid">
              <fgColor theme="1"/>
              <bgColor theme="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Dark6 2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xbox.xlsx]C̳álculos!tbl_annual_renewal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de venda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22C52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C7D2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7D22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876324831978811"/>
          <c:y val="0.16369332383473884"/>
          <c:w val="0.73915799482330558"/>
          <c:h val="0.78609400014233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C7D2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C7D22"/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C̳álculos!$C$20:$C$22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C̳álculos!$D$20:$D$22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D-471E-9741-5BD8A185B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9253487"/>
        <c:axId val="549255567"/>
      </c:barChart>
      <c:catAx>
        <c:axId val="549253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9255567"/>
        <c:crosses val="autoZero"/>
        <c:auto val="1"/>
        <c:lblAlgn val="ctr"/>
        <c:lblOffset val="100"/>
        <c:noMultiLvlLbl val="0"/>
      </c:catAx>
      <c:valAx>
        <c:axId val="54925556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4925348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11" Type="http://schemas.openxmlformats.org/officeDocument/2006/relationships/image" Target="../media/image6.png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4" y="2471927"/>
          <a:ext cx="1652997" cy="433198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15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15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83926</xdr:colOff>
      <xdr:row>1</xdr:row>
      <xdr:rowOff>95250</xdr:rowOff>
    </xdr:from>
    <xdr:to>
      <xdr:col>3</xdr:col>
      <xdr:colOff>38133</xdr:colOff>
      <xdr:row>5</xdr:row>
      <xdr:rowOff>61196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96" t="7330" r="71209" b="13262"/>
        <a:stretch/>
      </xdr:blipFill>
      <xdr:spPr>
        <a:xfrm>
          <a:off x="2227051" y="276225"/>
          <a:ext cx="735257" cy="785096"/>
        </a:xfrm>
        <a:prstGeom prst="rect">
          <a:avLst/>
        </a:prstGeom>
      </xdr:spPr>
    </xdr:pic>
    <xdr:clientData/>
  </xdr:twoCellAnchor>
  <xdr:twoCellAnchor editAs="absolute">
    <xdr:from>
      <xdr:col>1</xdr:col>
      <xdr:colOff>219179</xdr:colOff>
      <xdr:row>16</xdr:row>
      <xdr:rowOff>80314</xdr:rowOff>
    </xdr:from>
    <xdr:to>
      <xdr:col>16</xdr:col>
      <xdr:colOff>133350</xdr:colOff>
      <xdr:row>31</xdr:row>
      <xdr:rowOff>147855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53037</xdr:colOff>
      <xdr:row>7</xdr:row>
      <xdr:rowOff>139628</xdr:rowOff>
    </xdr:from>
    <xdr:to>
      <xdr:col>0</xdr:col>
      <xdr:colOff>2086841</xdr:colOff>
      <xdr:row>14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37" y="1501703"/>
              <a:ext cx="2033804" cy="12891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</xdr:col>
      <xdr:colOff>211130</xdr:colOff>
      <xdr:row>7</xdr:row>
      <xdr:rowOff>50420</xdr:rowOff>
    </xdr:from>
    <xdr:to>
      <xdr:col>16</xdr:col>
      <xdr:colOff>130192</xdr:colOff>
      <xdr:row>15</xdr:row>
      <xdr:rowOff>32787</xdr:rowOff>
    </xdr:to>
    <xdr:grpSp>
      <xdr:nvGrpSpPr>
        <xdr:cNvPr id="33" name="Agrupar 32"/>
        <xdr:cNvGrpSpPr/>
      </xdr:nvGrpSpPr>
      <xdr:grpSpPr>
        <a:xfrm>
          <a:off x="7250105" y="1412495"/>
          <a:ext cx="4538687" cy="1430167"/>
          <a:chOff x="7274284" y="1080585"/>
          <a:chExt cx="4557004" cy="1447752"/>
        </a:xfrm>
      </xdr:grpSpPr>
      <xdr:grpSp>
        <xdr:nvGrpSpPr>
          <xdr:cNvPr id="28" name="Agrupar 27"/>
          <xdr:cNvGrpSpPr/>
        </xdr:nvGrpSpPr>
        <xdr:grpSpPr>
          <a:xfrm>
            <a:off x="7274284" y="1080585"/>
            <a:ext cx="4557004" cy="1447752"/>
            <a:chOff x="8168169" y="985336"/>
            <a:chExt cx="4557004" cy="1447752"/>
          </a:xfrm>
        </xdr:grpSpPr>
        <xdr:sp macro="" textlink="">
          <xdr:nvSpPr>
            <xdr:cNvPr id="13" name="Arredondar Retângulo no Mesmo Canto Lateral 12"/>
            <xdr:cNvSpPr/>
          </xdr:nvSpPr>
          <xdr:spPr>
            <a:xfrm>
              <a:off x="8168169" y="1090262"/>
              <a:ext cx="4553997" cy="1342826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2" name="Arredondar Retângulo no Mesmo Canto Lateral 21"/>
            <xdr:cNvSpPr/>
          </xdr:nvSpPr>
          <xdr:spPr>
            <a:xfrm>
              <a:off x="8171176" y="985336"/>
              <a:ext cx="4553997" cy="349026"/>
            </a:xfrm>
            <a:prstGeom prst="round2SameRect">
              <a:avLst/>
            </a:prstGeom>
            <a:solidFill>
              <a:srgbClr val="3C7D2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200" b="1" i="0" u="none" strike="noStrike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TOTAL SUBCRIPTIONS EA PLAYS SEASON PASS</a:t>
              </a:r>
            </a:p>
          </xdr:txBody>
        </xdr:sp>
      </xdr:grpSp>
      <xdr:sp macro="" textlink="C̳álculos!F45">
        <xdr:nvSpPr>
          <xdr:cNvPr id="14" name="Retângulo 13"/>
          <xdr:cNvSpPr/>
        </xdr:nvSpPr>
        <xdr:spPr>
          <a:xfrm>
            <a:off x="8929939" y="1637119"/>
            <a:ext cx="2313843" cy="71191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2CDE4173-A40B-47A6-AE29-910A02382A0A}" type="TxLink">
              <a:rPr lang="en-US" sz="2800" b="0" i="0" u="none" strike="noStrike">
                <a:solidFill>
                  <a:srgbClr val="22C52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R$ 1.140,00</a:t>
            </a:fld>
            <a:endParaRPr lang="pt-BR" sz="2800" b="0" i="0" u="none" strike="noStrike">
              <a:solidFill>
                <a:srgbClr val="22C52C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7392549" y="1624294"/>
            <a:ext cx="1484336" cy="597147"/>
            <a:chOff x="3495675" y="5400674"/>
            <a:chExt cx="1549476" cy="752476"/>
          </a:xfrm>
        </xdr:grpSpPr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8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225136</xdr:colOff>
      <xdr:row>7</xdr:row>
      <xdr:rowOff>28440</xdr:rowOff>
    </xdr:from>
    <xdr:to>
      <xdr:col>8</xdr:col>
      <xdr:colOff>555514</xdr:colOff>
      <xdr:row>15</xdr:row>
      <xdr:rowOff>54768</xdr:rowOff>
    </xdr:to>
    <xdr:grpSp>
      <xdr:nvGrpSpPr>
        <xdr:cNvPr id="32" name="Agrupar 31"/>
        <xdr:cNvGrpSpPr/>
      </xdr:nvGrpSpPr>
      <xdr:grpSpPr>
        <a:xfrm>
          <a:off x="2368261" y="1390515"/>
          <a:ext cx="4540428" cy="1474128"/>
          <a:chOff x="2371924" y="1051278"/>
          <a:chExt cx="4558013" cy="1491713"/>
        </a:xfrm>
      </xdr:grpSpPr>
      <xdr:sp macro="" textlink="">
        <xdr:nvSpPr>
          <xdr:cNvPr id="6" name="Arredondar Retângulo no Mesmo Canto Lateral 5"/>
          <xdr:cNvSpPr/>
        </xdr:nvSpPr>
        <xdr:spPr>
          <a:xfrm>
            <a:off x="2371924" y="1112243"/>
            <a:ext cx="4558013" cy="1430748"/>
          </a:xfrm>
          <a:prstGeom prst="round2Same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3">
        <xdr:nvSpPr>
          <xdr:cNvPr id="12" name="Retângulo 11"/>
          <xdr:cNvSpPr/>
        </xdr:nvSpPr>
        <xdr:spPr>
          <a:xfrm>
            <a:off x="4023811" y="1615139"/>
            <a:ext cx="2313843" cy="71191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93E4115-4C87-4652-BC4E-F11FBCE3049C}" type="TxLink">
              <a:rPr lang="en-US" sz="2800" b="0" i="0" u="none" strike="noStrike">
                <a:solidFill>
                  <a:srgbClr val="22C52C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R$ 990,00</a:t>
            </a:fld>
            <a:endParaRPr lang="pt-BR" sz="2800" b="0">
              <a:solidFill>
                <a:srgbClr val="22C52C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3838" b="23760"/>
          <a:stretch/>
        </xdr:blipFill>
        <xdr:spPr>
          <a:xfrm>
            <a:off x="2576413" y="1648558"/>
            <a:ext cx="1380924" cy="608135"/>
          </a:xfrm>
          <a:prstGeom prst="rect">
            <a:avLst/>
          </a:prstGeom>
        </xdr:spPr>
      </xdr:pic>
      <xdr:sp macro="" textlink="">
        <xdr:nvSpPr>
          <xdr:cNvPr id="19" name="Arredondar Retângulo no Mesmo Canto Lateral 18"/>
          <xdr:cNvSpPr/>
        </xdr:nvSpPr>
        <xdr:spPr>
          <a:xfrm>
            <a:off x="2372196" y="1051278"/>
            <a:ext cx="4557469" cy="349027"/>
          </a:xfrm>
          <a:prstGeom prst="round2SameRect">
            <a:avLst/>
          </a:prstGeom>
          <a:solidFill>
            <a:srgbClr val="3C7D2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2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SUBCRIPTIONS EA PLAYS SEASON PASS</a:t>
            </a:r>
          </a:p>
        </xdr:txBody>
      </xdr:sp>
    </xdr:grpSp>
    <xdr:clientData/>
  </xdr:twoCellAnchor>
  <xdr:twoCellAnchor editAs="absolute">
    <xdr:from>
      <xdr:col>0</xdr:col>
      <xdr:colOff>684177</xdr:colOff>
      <xdr:row>1</xdr:row>
      <xdr:rowOff>29308</xdr:rowOff>
    </xdr:from>
    <xdr:to>
      <xdr:col>0</xdr:col>
      <xdr:colOff>1455702</xdr:colOff>
      <xdr:row>4</xdr:row>
      <xdr:rowOff>63744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84177" y="212481"/>
          <a:ext cx="771525" cy="657225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76200</xdr:colOff>
      <xdr:row>4</xdr:row>
      <xdr:rowOff>180975</xdr:rowOff>
    </xdr:from>
    <xdr:to>
      <xdr:col>0</xdr:col>
      <xdr:colOff>2047875</xdr:colOff>
      <xdr:row>6</xdr:row>
      <xdr:rowOff>142875</xdr:rowOff>
    </xdr:to>
    <xdr:sp macro="" textlink="">
      <xdr:nvSpPr>
        <xdr:cNvPr id="2" name="Retângulo 1"/>
        <xdr:cNvSpPr/>
      </xdr:nvSpPr>
      <xdr:spPr>
        <a:xfrm>
          <a:off x="76200" y="981075"/>
          <a:ext cx="197167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Segoe UI" panose="020B0502040204020203" pitchFamily="34" charset="0"/>
              <a:cs typeface="Segoe UI" panose="020B0502040204020203" pitchFamily="34" charset="0"/>
            </a:rPr>
            <a:t>&gt;</a:t>
          </a:r>
          <a:r>
            <a:rPr lang="pt-BR" sz="1200" b="1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200" b="1">
              <a:latin typeface="Segoe UI" panose="020B0502040204020203" pitchFamily="34" charset="0"/>
              <a:cs typeface="Segoe UI" panose="020B0502040204020203" pitchFamily="34" charset="0"/>
            </a:rPr>
            <a:t>Bem vindo Leonardo</a:t>
          </a:r>
        </a:p>
      </xdr:txBody>
    </xdr:sp>
    <xdr:clientData/>
  </xdr:twoCellAnchor>
  <xdr:oneCellAnchor>
    <xdr:from>
      <xdr:col>1</xdr:col>
      <xdr:colOff>171450</xdr:colOff>
      <xdr:row>5</xdr:row>
      <xdr:rowOff>76200</xdr:rowOff>
    </xdr:from>
    <xdr:ext cx="4845365" cy="279948"/>
    <xdr:sp macro="" textlink="">
      <xdr:nvSpPr>
        <xdr:cNvPr id="8" name="CaixaDeTexto 7"/>
        <xdr:cNvSpPr txBox="1"/>
      </xdr:nvSpPr>
      <xdr:spPr>
        <a:xfrm>
          <a:off x="2314575" y="1076325"/>
          <a:ext cx="4845365" cy="2799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Período de Apuração</a:t>
          </a:r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 : 01/01/2024 - 31/12/2024</a:t>
          </a:r>
          <a:r>
            <a:rPr lang="pt-BR" sz="1100" b="0" i="0" baseline="0">
              <a:solidFill>
                <a:schemeClr val="tx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| Update date: 25/12/2025</a:t>
          </a:r>
          <a:endParaRPr lang="pt-BR" sz="1100" b="1" i="0">
            <a:solidFill>
              <a:schemeClr val="tx1"/>
            </a:solidFill>
            <a:effectLst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oneCellAnchor>
  <xdr:twoCellAnchor>
    <xdr:from>
      <xdr:col>0</xdr:col>
      <xdr:colOff>76200</xdr:colOff>
      <xdr:row>16</xdr:row>
      <xdr:rowOff>142875</xdr:rowOff>
    </xdr:from>
    <xdr:to>
      <xdr:col>0</xdr:col>
      <xdr:colOff>2047875</xdr:colOff>
      <xdr:row>18</xdr:row>
      <xdr:rowOff>123825</xdr:rowOff>
    </xdr:to>
    <xdr:sp macro="" textlink="">
      <xdr:nvSpPr>
        <xdr:cNvPr id="23" name="Retângulo 22"/>
        <xdr:cNvSpPr/>
      </xdr:nvSpPr>
      <xdr:spPr>
        <a:xfrm>
          <a:off x="76200" y="3133725"/>
          <a:ext cx="197167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200" b="1" baseline="0">
              <a:latin typeface="Segoe UI" panose="020B0502040204020203" pitchFamily="34" charset="0"/>
              <a:cs typeface="Segoe UI" panose="020B0502040204020203" pitchFamily="34" charset="0"/>
            </a:rPr>
            <a:t> By Leonardo</a:t>
          </a:r>
          <a:endParaRPr lang="pt-BR" sz="12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133350</xdr:colOff>
      <xdr:row>16</xdr:row>
      <xdr:rowOff>123825</xdr:rowOff>
    </xdr:from>
    <xdr:to>
      <xdr:col>0</xdr:col>
      <xdr:colOff>1962150</xdr:colOff>
      <xdr:row>16</xdr:row>
      <xdr:rowOff>169544</xdr:rowOff>
    </xdr:to>
    <xdr:sp macro="" textlink="">
      <xdr:nvSpPr>
        <xdr:cNvPr id="7" name="Retângulo 6"/>
        <xdr:cNvSpPr/>
      </xdr:nvSpPr>
      <xdr:spPr>
        <a:xfrm>
          <a:off x="133350" y="3114675"/>
          <a:ext cx="1828800" cy="45719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0.00201</cdr:x>
      <cdr:y>0</cdr:y>
    </cdr:from>
    <cdr:to>
      <cdr:x>1</cdr:x>
      <cdr:y>0.12398</cdr:y>
    </cdr:to>
    <cdr:sp macro="" textlink="">
      <cdr:nvSpPr>
        <cdr:cNvPr id="2" name="Arredondar Retângulo no Mesmo Canto Lateral 1"/>
        <cdr:cNvSpPr/>
      </cdr:nvSpPr>
      <cdr:spPr>
        <a:xfrm xmlns:a="http://schemas.openxmlformats.org/drawingml/2006/main">
          <a:off x="9163" y="0"/>
          <a:ext cx="4548266" cy="343134"/>
        </a:xfrm>
        <a:prstGeom xmlns:a="http://schemas.openxmlformats.org/drawingml/2006/main" prst="round2SameRect">
          <a:avLst/>
        </a:prstGeom>
        <a:solidFill xmlns:a="http://schemas.openxmlformats.org/drawingml/2006/main">
          <a:srgbClr val="3C7D2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TOTAL SUBCRIPTIONS XBOX</a:t>
          </a:r>
          <a:r>
            <a:rPr lang="pt-BR" sz="1200" b="1" i="0" u="none" strike="noStrike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GAME</a:t>
          </a:r>
          <a:r>
            <a:rPr lang="pt-BR" sz="120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PASS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DIA" refreshedDate="46055.494985300924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</r>
  <r>
    <x v="2"/>
    <x v="2"/>
    <x v="2"/>
    <x v="2"/>
    <x v="0"/>
    <x v="2"/>
    <x v="2"/>
    <x v="1"/>
    <x v="1"/>
    <x v="0"/>
    <x v="0"/>
    <x v="2"/>
    <x v="2"/>
  </r>
  <r>
    <x v="3"/>
    <x v="3"/>
    <x v="0"/>
    <x v="3"/>
    <x v="1"/>
    <x v="0"/>
    <x v="0"/>
    <x v="0"/>
    <x v="0"/>
    <x v="0"/>
    <x v="0"/>
    <x v="3"/>
    <x v="3"/>
  </r>
  <r>
    <x v="4"/>
    <x v="4"/>
    <x v="1"/>
    <x v="4"/>
    <x v="0"/>
    <x v="1"/>
    <x v="0"/>
    <x v="1"/>
    <x v="1"/>
    <x v="1"/>
    <x v="1"/>
    <x v="4"/>
    <x v="4"/>
  </r>
  <r>
    <x v="5"/>
    <x v="5"/>
    <x v="2"/>
    <x v="5"/>
    <x v="1"/>
    <x v="2"/>
    <x v="0"/>
    <x v="1"/>
    <x v="1"/>
    <x v="0"/>
    <x v="0"/>
    <x v="5"/>
    <x v="5"/>
  </r>
  <r>
    <x v="6"/>
    <x v="6"/>
    <x v="0"/>
    <x v="6"/>
    <x v="0"/>
    <x v="0"/>
    <x v="2"/>
    <x v="0"/>
    <x v="0"/>
    <x v="0"/>
    <x v="0"/>
    <x v="2"/>
    <x v="6"/>
  </r>
  <r>
    <x v="7"/>
    <x v="7"/>
    <x v="1"/>
    <x v="7"/>
    <x v="0"/>
    <x v="1"/>
    <x v="1"/>
    <x v="1"/>
    <x v="1"/>
    <x v="1"/>
    <x v="1"/>
    <x v="1"/>
    <x v="1"/>
  </r>
  <r>
    <x v="8"/>
    <x v="8"/>
    <x v="0"/>
    <x v="4"/>
    <x v="1"/>
    <x v="0"/>
    <x v="0"/>
    <x v="0"/>
    <x v="0"/>
    <x v="0"/>
    <x v="0"/>
    <x v="0"/>
    <x v="0"/>
  </r>
  <r>
    <x v="9"/>
    <x v="9"/>
    <x v="2"/>
    <x v="8"/>
    <x v="0"/>
    <x v="2"/>
    <x v="2"/>
    <x v="1"/>
    <x v="1"/>
    <x v="0"/>
    <x v="0"/>
    <x v="6"/>
    <x v="7"/>
  </r>
  <r>
    <x v="10"/>
    <x v="10"/>
    <x v="1"/>
    <x v="9"/>
    <x v="1"/>
    <x v="1"/>
    <x v="0"/>
    <x v="1"/>
    <x v="1"/>
    <x v="1"/>
    <x v="1"/>
    <x v="4"/>
    <x v="4"/>
  </r>
  <r>
    <x v="11"/>
    <x v="11"/>
    <x v="0"/>
    <x v="10"/>
    <x v="0"/>
    <x v="0"/>
    <x v="1"/>
    <x v="0"/>
    <x v="0"/>
    <x v="0"/>
    <x v="0"/>
    <x v="7"/>
    <x v="8"/>
  </r>
  <r>
    <x v="12"/>
    <x v="12"/>
    <x v="2"/>
    <x v="11"/>
    <x v="1"/>
    <x v="2"/>
    <x v="0"/>
    <x v="1"/>
    <x v="1"/>
    <x v="0"/>
    <x v="0"/>
    <x v="2"/>
    <x v="2"/>
  </r>
  <r>
    <x v="13"/>
    <x v="13"/>
    <x v="1"/>
    <x v="12"/>
    <x v="0"/>
    <x v="1"/>
    <x v="2"/>
    <x v="1"/>
    <x v="1"/>
    <x v="1"/>
    <x v="1"/>
    <x v="1"/>
    <x v="1"/>
  </r>
  <r>
    <x v="14"/>
    <x v="14"/>
    <x v="0"/>
    <x v="13"/>
    <x v="1"/>
    <x v="0"/>
    <x v="0"/>
    <x v="0"/>
    <x v="0"/>
    <x v="0"/>
    <x v="0"/>
    <x v="8"/>
    <x v="9"/>
  </r>
  <r>
    <x v="15"/>
    <x v="15"/>
    <x v="2"/>
    <x v="14"/>
    <x v="0"/>
    <x v="2"/>
    <x v="1"/>
    <x v="1"/>
    <x v="1"/>
    <x v="0"/>
    <x v="0"/>
    <x v="9"/>
    <x v="10"/>
  </r>
  <r>
    <x v="16"/>
    <x v="16"/>
    <x v="1"/>
    <x v="15"/>
    <x v="1"/>
    <x v="1"/>
    <x v="0"/>
    <x v="1"/>
    <x v="1"/>
    <x v="1"/>
    <x v="1"/>
    <x v="5"/>
    <x v="11"/>
  </r>
  <r>
    <x v="17"/>
    <x v="17"/>
    <x v="0"/>
    <x v="16"/>
    <x v="0"/>
    <x v="0"/>
    <x v="2"/>
    <x v="0"/>
    <x v="0"/>
    <x v="0"/>
    <x v="0"/>
    <x v="10"/>
    <x v="12"/>
  </r>
  <r>
    <x v="18"/>
    <x v="18"/>
    <x v="2"/>
    <x v="17"/>
    <x v="1"/>
    <x v="2"/>
    <x v="0"/>
    <x v="1"/>
    <x v="1"/>
    <x v="0"/>
    <x v="0"/>
    <x v="0"/>
    <x v="13"/>
  </r>
  <r>
    <x v="19"/>
    <x v="19"/>
    <x v="1"/>
    <x v="18"/>
    <x v="0"/>
    <x v="1"/>
    <x v="1"/>
    <x v="1"/>
    <x v="1"/>
    <x v="1"/>
    <x v="1"/>
    <x v="1"/>
    <x v="1"/>
  </r>
  <r>
    <x v="20"/>
    <x v="20"/>
    <x v="0"/>
    <x v="19"/>
    <x v="1"/>
    <x v="0"/>
    <x v="0"/>
    <x v="0"/>
    <x v="0"/>
    <x v="0"/>
    <x v="0"/>
    <x v="3"/>
    <x v="3"/>
  </r>
  <r>
    <x v="21"/>
    <x v="21"/>
    <x v="2"/>
    <x v="20"/>
    <x v="0"/>
    <x v="2"/>
    <x v="2"/>
    <x v="1"/>
    <x v="1"/>
    <x v="0"/>
    <x v="0"/>
    <x v="6"/>
    <x v="7"/>
  </r>
  <r>
    <x v="22"/>
    <x v="22"/>
    <x v="1"/>
    <x v="21"/>
    <x v="1"/>
    <x v="1"/>
    <x v="0"/>
    <x v="1"/>
    <x v="1"/>
    <x v="1"/>
    <x v="1"/>
    <x v="4"/>
    <x v="4"/>
  </r>
  <r>
    <x v="23"/>
    <x v="23"/>
    <x v="0"/>
    <x v="22"/>
    <x v="0"/>
    <x v="0"/>
    <x v="1"/>
    <x v="0"/>
    <x v="0"/>
    <x v="0"/>
    <x v="0"/>
    <x v="7"/>
    <x v="8"/>
  </r>
  <r>
    <x v="24"/>
    <x v="24"/>
    <x v="2"/>
    <x v="23"/>
    <x v="1"/>
    <x v="2"/>
    <x v="0"/>
    <x v="1"/>
    <x v="1"/>
    <x v="0"/>
    <x v="0"/>
    <x v="2"/>
    <x v="2"/>
  </r>
  <r>
    <x v="25"/>
    <x v="25"/>
    <x v="1"/>
    <x v="24"/>
    <x v="0"/>
    <x v="1"/>
    <x v="2"/>
    <x v="1"/>
    <x v="1"/>
    <x v="1"/>
    <x v="1"/>
    <x v="1"/>
    <x v="1"/>
  </r>
  <r>
    <x v="26"/>
    <x v="26"/>
    <x v="0"/>
    <x v="25"/>
    <x v="1"/>
    <x v="0"/>
    <x v="0"/>
    <x v="0"/>
    <x v="0"/>
    <x v="0"/>
    <x v="0"/>
    <x v="0"/>
    <x v="0"/>
  </r>
  <r>
    <x v="27"/>
    <x v="27"/>
    <x v="2"/>
    <x v="26"/>
    <x v="0"/>
    <x v="2"/>
    <x v="1"/>
    <x v="1"/>
    <x v="1"/>
    <x v="0"/>
    <x v="0"/>
    <x v="6"/>
    <x v="7"/>
  </r>
  <r>
    <x v="28"/>
    <x v="28"/>
    <x v="1"/>
    <x v="27"/>
    <x v="1"/>
    <x v="1"/>
    <x v="0"/>
    <x v="1"/>
    <x v="1"/>
    <x v="1"/>
    <x v="1"/>
    <x v="4"/>
    <x v="4"/>
  </r>
  <r>
    <x v="29"/>
    <x v="29"/>
    <x v="0"/>
    <x v="28"/>
    <x v="0"/>
    <x v="0"/>
    <x v="2"/>
    <x v="0"/>
    <x v="0"/>
    <x v="0"/>
    <x v="0"/>
    <x v="10"/>
    <x v="12"/>
  </r>
  <r>
    <x v="30"/>
    <x v="30"/>
    <x v="2"/>
    <x v="29"/>
    <x v="1"/>
    <x v="2"/>
    <x v="0"/>
    <x v="1"/>
    <x v="1"/>
    <x v="0"/>
    <x v="0"/>
    <x v="2"/>
    <x v="2"/>
  </r>
  <r>
    <x v="31"/>
    <x v="31"/>
    <x v="1"/>
    <x v="30"/>
    <x v="0"/>
    <x v="1"/>
    <x v="1"/>
    <x v="1"/>
    <x v="1"/>
    <x v="1"/>
    <x v="1"/>
    <x v="1"/>
    <x v="1"/>
  </r>
  <r>
    <x v="32"/>
    <x v="32"/>
    <x v="0"/>
    <x v="31"/>
    <x v="1"/>
    <x v="0"/>
    <x v="0"/>
    <x v="0"/>
    <x v="0"/>
    <x v="0"/>
    <x v="0"/>
    <x v="3"/>
    <x v="3"/>
  </r>
  <r>
    <x v="33"/>
    <x v="33"/>
    <x v="2"/>
    <x v="32"/>
    <x v="0"/>
    <x v="2"/>
    <x v="2"/>
    <x v="1"/>
    <x v="1"/>
    <x v="0"/>
    <x v="0"/>
    <x v="6"/>
    <x v="7"/>
  </r>
  <r>
    <x v="34"/>
    <x v="34"/>
    <x v="1"/>
    <x v="33"/>
    <x v="1"/>
    <x v="1"/>
    <x v="0"/>
    <x v="1"/>
    <x v="1"/>
    <x v="1"/>
    <x v="1"/>
    <x v="4"/>
    <x v="4"/>
  </r>
  <r>
    <x v="35"/>
    <x v="35"/>
    <x v="1"/>
    <x v="34"/>
    <x v="0"/>
    <x v="1"/>
    <x v="0"/>
    <x v="1"/>
    <x v="1"/>
    <x v="1"/>
    <x v="1"/>
    <x v="1"/>
    <x v="1"/>
  </r>
  <r>
    <x v="36"/>
    <x v="36"/>
    <x v="0"/>
    <x v="35"/>
    <x v="1"/>
    <x v="0"/>
    <x v="2"/>
    <x v="0"/>
    <x v="0"/>
    <x v="0"/>
    <x v="0"/>
    <x v="10"/>
    <x v="12"/>
  </r>
  <r>
    <x v="37"/>
    <x v="37"/>
    <x v="2"/>
    <x v="36"/>
    <x v="0"/>
    <x v="2"/>
    <x v="1"/>
    <x v="1"/>
    <x v="1"/>
    <x v="0"/>
    <x v="0"/>
    <x v="2"/>
    <x v="2"/>
  </r>
  <r>
    <x v="38"/>
    <x v="38"/>
    <x v="1"/>
    <x v="37"/>
    <x v="1"/>
    <x v="1"/>
    <x v="2"/>
    <x v="1"/>
    <x v="1"/>
    <x v="1"/>
    <x v="1"/>
    <x v="4"/>
    <x v="4"/>
  </r>
  <r>
    <x v="39"/>
    <x v="39"/>
    <x v="0"/>
    <x v="38"/>
    <x v="0"/>
    <x v="0"/>
    <x v="0"/>
    <x v="0"/>
    <x v="0"/>
    <x v="0"/>
    <x v="0"/>
    <x v="6"/>
    <x v="14"/>
  </r>
  <r>
    <x v="40"/>
    <x v="40"/>
    <x v="2"/>
    <x v="39"/>
    <x v="1"/>
    <x v="2"/>
    <x v="0"/>
    <x v="1"/>
    <x v="1"/>
    <x v="0"/>
    <x v="0"/>
    <x v="0"/>
    <x v="13"/>
  </r>
  <r>
    <x v="41"/>
    <x v="41"/>
    <x v="1"/>
    <x v="40"/>
    <x v="0"/>
    <x v="1"/>
    <x v="1"/>
    <x v="1"/>
    <x v="1"/>
    <x v="1"/>
    <x v="1"/>
    <x v="1"/>
    <x v="1"/>
  </r>
  <r>
    <x v="42"/>
    <x v="42"/>
    <x v="0"/>
    <x v="41"/>
    <x v="1"/>
    <x v="0"/>
    <x v="2"/>
    <x v="0"/>
    <x v="0"/>
    <x v="0"/>
    <x v="0"/>
    <x v="7"/>
    <x v="8"/>
  </r>
  <r>
    <x v="43"/>
    <x v="43"/>
    <x v="2"/>
    <x v="42"/>
    <x v="0"/>
    <x v="2"/>
    <x v="2"/>
    <x v="1"/>
    <x v="1"/>
    <x v="0"/>
    <x v="0"/>
    <x v="9"/>
    <x v="10"/>
  </r>
  <r>
    <x v="44"/>
    <x v="44"/>
    <x v="1"/>
    <x v="43"/>
    <x v="1"/>
    <x v="1"/>
    <x v="0"/>
    <x v="1"/>
    <x v="1"/>
    <x v="1"/>
    <x v="1"/>
    <x v="5"/>
    <x v="11"/>
  </r>
  <r>
    <x v="45"/>
    <x v="45"/>
    <x v="0"/>
    <x v="44"/>
    <x v="0"/>
    <x v="0"/>
    <x v="1"/>
    <x v="0"/>
    <x v="0"/>
    <x v="0"/>
    <x v="0"/>
    <x v="0"/>
    <x v="0"/>
  </r>
  <r>
    <x v="46"/>
    <x v="46"/>
    <x v="2"/>
    <x v="45"/>
    <x v="1"/>
    <x v="2"/>
    <x v="0"/>
    <x v="1"/>
    <x v="1"/>
    <x v="0"/>
    <x v="0"/>
    <x v="2"/>
    <x v="2"/>
  </r>
  <r>
    <x v="47"/>
    <x v="47"/>
    <x v="1"/>
    <x v="46"/>
    <x v="0"/>
    <x v="1"/>
    <x v="2"/>
    <x v="1"/>
    <x v="1"/>
    <x v="1"/>
    <x v="1"/>
    <x v="1"/>
    <x v="1"/>
  </r>
  <r>
    <x v="48"/>
    <x v="48"/>
    <x v="0"/>
    <x v="47"/>
    <x v="1"/>
    <x v="0"/>
    <x v="0"/>
    <x v="0"/>
    <x v="0"/>
    <x v="0"/>
    <x v="0"/>
    <x v="3"/>
    <x v="3"/>
  </r>
  <r>
    <x v="49"/>
    <x v="49"/>
    <x v="2"/>
    <x v="48"/>
    <x v="0"/>
    <x v="2"/>
    <x v="1"/>
    <x v="1"/>
    <x v="1"/>
    <x v="0"/>
    <x v="0"/>
    <x v="6"/>
    <x v="7"/>
  </r>
  <r>
    <x v="50"/>
    <x v="50"/>
    <x v="1"/>
    <x v="49"/>
    <x v="1"/>
    <x v="1"/>
    <x v="0"/>
    <x v="1"/>
    <x v="1"/>
    <x v="1"/>
    <x v="1"/>
    <x v="4"/>
    <x v="4"/>
  </r>
  <r>
    <x v="51"/>
    <x v="51"/>
    <x v="0"/>
    <x v="50"/>
    <x v="0"/>
    <x v="0"/>
    <x v="2"/>
    <x v="0"/>
    <x v="0"/>
    <x v="0"/>
    <x v="0"/>
    <x v="10"/>
    <x v="12"/>
  </r>
  <r>
    <x v="52"/>
    <x v="52"/>
    <x v="2"/>
    <x v="51"/>
    <x v="1"/>
    <x v="2"/>
    <x v="0"/>
    <x v="1"/>
    <x v="1"/>
    <x v="0"/>
    <x v="0"/>
    <x v="2"/>
    <x v="2"/>
  </r>
  <r>
    <x v="53"/>
    <x v="53"/>
    <x v="1"/>
    <x v="52"/>
    <x v="0"/>
    <x v="1"/>
    <x v="1"/>
    <x v="1"/>
    <x v="1"/>
    <x v="1"/>
    <x v="1"/>
    <x v="1"/>
    <x v="1"/>
  </r>
  <r>
    <x v="54"/>
    <x v="54"/>
    <x v="0"/>
    <x v="53"/>
    <x v="1"/>
    <x v="0"/>
    <x v="0"/>
    <x v="0"/>
    <x v="0"/>
    <x v="0"/>
    <x v="0"/>
    <x v="7"/>
    <x v="8"/>
  </r>
  <r>
    <x v="55"/>
    <x v="55"/>
    <x v="2"/>
    <x v="54"/>
    <x v="0"/>
    <x v="2"/>
    <x v="2"/>
    <x v="1"/>
    <x v="1"/>
    <x v="0"/>
    <x v="0"/>
    <x v="6"/>
    <x v="7"/>
  </r>
  <r>
    <x v="56"/>
    <x v="56"/>
    <x v="1"/>
    <x v="55"/>
    <x v="1"/>
    <x v="1"/>
    <x v="0"/>
    <x v="1"/>
    <x v="1"/>
    <x v="1"/>
    <x v="1"/>
    <x v="4"/>
    <x v="4"/>
  </r>
  <r>
    <x v="57"/>
    <x v="57"/>
    <x v="0"/>
    <x v="56"/>
    <x v="0"/>
    <x v="0"/>
    <x v="1"/>
    <x v="0"/>
    <x v="0"/>
    <x v="0"/>
    <x v="0"/>
    <x v="3"/>
    <x v="3"/>
  </r>
  <r>
    <x v="58"/>
    <x v="58"/>
    <x v="2"/>
    <x v="57"/>
    <x v="1"/>
    <x v="2"/>
    <x v="0"/>
    <x v="1"/>
    <x v="1"/>
    <x v="0"/>
    <x v="0"/>
    <x v="2"/>
    <x v="2"/>
  </r>
  <r>
    <x v="59"/>
    <x v="59"/>
    <x v="1"/>
    <x v="58"/>
    <x v="0"/>
    <x v="1"/>
    <x v="2"/>
    <x v="1"/>
    <x v="1"/>
    <x v="1"/>
    <x v="1"/>
    <x v="1"/>
    <x v="1"/>
  </r>
  <r>
    <x v="60"/>
    <x v="60"/>
    <x v="0"/>
    <x v="59"/>
    <x v="1"/>
    <x v="0"/>
    <x v="0"/>
    <x v="0"/>
    <x v="0"/>
    <x v="0"/>
    <x v="0"/>
    <x v="0"/>
    <x v="0"/>
  </r>
  <r>
    <x v="61"/>
    <x v="61"/>
    <x v="2"/>
    <x v="60"/>
    <x v="0"/>
    <x v="2"/>
    <x v="1"/>
    <x v="1"/>
    <x v="1"/>
    <x v="0"/>
    <x v="0"/>
    <x v="6"/>
    <x v="7"/>
  </r>
  <r>
    <x v="62"/>
    <x v="62"/>
    <x v="1"/>
    <x v="61"/>
    <x v="1"/>
    <x v="1"/>
    <x v="0"/>
    <x v="1"/>
    <x v="1"/>
    <x v="1"/>
    <x v="1"/>
    <x v="4"/>
    <x v="4"/>
  </r>
  <r>
    <x v="63"/>
    <x v="63"/>
    <x v="0"/>
    <x v="62"/>
    <x v="0"/>
    <x v="0"/>
    <x v="2"/>
    <x v="0"/>
    <x v="0"/>
    <x v="0"/>
    <x v="0"/>
    <x v="7"/>
    <x v="8"/>
  </r>
  <r>
    <x v="64"/>
    <x v="64"/>
    <x v="2"/>
    <x v="63"/>
    <x v="1"/>
    <x v="2"/>
    <x v="0"/>
    <x v="1"/>
    <x v="1"/>
    <x v="0"/>
    <x v="0"/>
    <x v="0"/>
    <x v="13"/>
  </r>
  <r>
    <x v="65"/>
    <x v="65"/>
    <x v="1"/>
    <x v="64"/>
    <x v="1"/>
    <x v="1"/>
    <x v="0"/>
    <x v="1"/>
    <x v="1"/>
    <x v="1"/>
    <x v="1"/>
    <x v="1"/>
    <x v="1"/>
  </r>
  <r>
    <x v="66"/>
    <x v="66"/>
    <x v="0"/>
    <x v="65"/>
    <x v="0"/>
    <x v="0"/>
    <x v="2"/>
    <x v="0"/>
    <x v="0"/>
    <x v="0"/>
    <x v="0"/>
    <x v="10"/>
    <x v="12"/>
  </r>
  <r>
    <x v="67"/>
    <x v="67"/>
    <x v="2"/>
    <x v="66"/>
    <x v="1"/>
    <x v="2"/>
    <x v="1"/>
    <x v="1"/>
    <x v="1"/>
    <x v="0"/>
    <x v="0"/>
    <x v="2"/>
    <x v="2"/>
  </r>
  <r>
    <x v="68"/>
    <x v="68"/>
    <x v="1"/>
    <x v="67"/>
    <x v="0"/>
    <x v="1"/>
    <x v="2"/>
    <x v="1"/>
    <x v="1"/>
    <x v="1"/>
    <x v="1"/>
    <x v="4"/>
    <x v="4"/>
  </r>
  <r>
    <x v="69"/>
    <x v="69"/>
    <x v="0"/>
    <x v="68"/>
    <x v="1"/>
    <x v="0"/>
    <x v="0"/>
    <x v="0"/>
    <x v="0"/>
    <x v="0"/>
    <x v="0"/>
    <x v="6"/>
    <x v="14"/>
  </r>
  <r>
    <x v="70"/>
    <x v="70"/>
    <x v="2"/>
    <x v="69"/>
    <x v="0"/>
    <x v="2"/>
    <x v="0"/>
    <x v="1"/>
    <x v="1"/>
    <x v="0"/>
    <x v="0"/>
    <x v="0"/>
    <x v="13"/>
  </r>
  <r>
    <x v="71"/>
    <x v="71"/>
    <x v="1"/>
    <x v="70"/>
    <x v="1"/>
    <x v="1"/>
    <x v="1"/>
    <x v="1"/>
    <x v="1"/>
    <x v="1"/>
    <x v="1"/>
    <x v="1"/>
    <x v="1"/>
  </r>
  <r>
    <x v="72"/>
    <x v="72"/>
    <x v="0"/>
    <x v="71"/>
    <x v="0"/>
    <x v="0"/>
    <x v="2"/>
    <x v="0"/>
    <x v="0"/>
    <x v="0"/>
    <x v="0"/>
    <x v="7"/>
    <x v="8"/>
  </r>
  <r>
    <x v="73"/>
    <x v="73"/>
    <x v="2"/>
    <x v="72"/>
    <x v="1"/>
    <x v="2"/>
    <x v="2"/>
    <x v="1"/>
    <x v="1"/>
    <x v="0"/>
    <x v="0"/>
    <x v="9"/>
    <x v="10"/>
  </r>
  <r>
    <x v="74"/>
    <x v="74"/>
    <x v="1"/>
    <x v="73"/>
    <x v="0"/>
    <x v="1"/>
    <x v="0"/>
    <x v="1"/>
    <x v="1"/>
    <x v="1"/>
    <x v="1"/>
    <x v="5"/>
    <x v="11"/>
  </r>
  <r>
    <x v="75"/>
    <x v="75"/>
    <x v="0"/>
    <x v="74"/>
    <x v="1"/>
    <x v="0"/>
    <x v="1"/>
    <x v="0"/>
    <x v="0"/>
    <x v="0"/>
    <x v="0"/>
    <x v="0"/>
    <x v="0"/>
  </r>
  <r>
    <x v="76"/>
    <x v="76"/>
    <x v="2"/>
    <x v="75"/>
    <x v="0"/>
    <x v="2"/>
    <x v="0"/>
    <x v="1"/>
    <x v="1"/>
    <x v="0"/>
    <x v="0"/>
    <x v="2"/>
    <x v="2"/>
  </r>
  <r>
    <x v="77"/>
    <x v="77"/>
    <x v="1"/>
    <x v="76"/>
    <x v="1"/>
    <x v="1"/>
    <x v="2"/>
    <x v="1"/>
    <x v="1"/>
    <x v="1"/>
    <x v="1"/>
    <x v="1"/>
    <x v="1"/>
  </r>
  <r>
    <x v="78"/>
    <x v="78"/>
    <x v="0"/>
    <x v="77"/>
    <x v="0"/>
    <x v="0"/>
    <x v="0"/>
    <x v="0"/>
    <x v="0"/>
    <x v="0"/>
    <x v="0"/>
    <x v="3"/>
    <x v="3"/>
  </r>
  <r>
    <x v="79"/>
    <x v="79"/>
    <x v="2"/>
    <x v="78"/>
    <x v="1"/>
    <x v="2"/>
    <x v="1"/>
    <x v="1"/>
    <x v="1"/>
    <x v="0"/>
    <x v="0"/>
    <x v="6"/>
    <x v="7"/>
  </r>
  <r>
    <x v="80"/>
    <x v="80"/>
    <x v="1"/>
    <x v="79"/>
    <x v="0"/>
    <x v="1"/>
    <x v="0"/>
    <x v="1"/>
    <x v="1"/>
    <x v="1"/>
    <x v="1"/>
    <x v="4"/>
    <x v="4"/>
  </r>
  <r>
    <x v="81"/>
    <x v="81"/>
    <x v="0"/>
    <x v="80"/>
    <x v="1"/>
    <x v="0"/>
    <x v="2"/>
    <x v="0"/>
    <x v="0"/>
    <x v="0"/>
    <x v="0"/>
    <x v="10"/>
    <x v="12"/>
  </r>
  <r>
    <x v="82"/>
    <x v="82"/>
    <x v="2"/>
    <x v="81"/>
    <x v="0"/>
    <x v="2"/>
    <x v="0"/>
    <x v="1"/>
    <x v="1"/>
    <x v="0"/>
    <x v="0"/>
    <x v="2"/>
    <x v="2"/>
  </r>
  <r>
    <x v="83"/>
    <x v="83"/>
    <x v="1"/>
    <x v="82"/>
    <x v="1"/>
    <x v="1"/>
    <x v="1"/>
    <x v="1"/>
    <x v="1"/>
    <x v="1"/>
    <x v="1"/>
    <x v="1"/>
    <x v="1"/>
  </r>
  <r>
    <x v="84"/>
    <x v="84"/>
    <x v="0"/>
    <x v="83"/>
    <x v="0"/>
    <x v="0"/>
    <x v="0"/>
    <x v="0"/>
    <x v="0"/>
    <x v="0"/>
    <x v="0"/>
    <x v="7"/>
    <x v="8"/>
  </r>
  <r>
    <x v="85"/>
    <x v="85"/>
    <x v="2"/>
    <x v="84"/>
    <x v="1"/>
    <x v="2"/>
    <x v="2"/>
    <x v="1"/>
    <x v="1"/>
    <x v="0"/>
    <x v="0"/>
    <x v="6"/>
    <x v="7"/>
  </r>
  <r>
    <x v="86"/>
    <x v="86"/>
    <x v="1"/>
    <x v="85"/>
    <x v="0"/>
    <x v="1"/>
    <x v="0"/>
    <x v="1"/>
    <x v="1"/>
    <x v="1"/>
    <x v="1"/>
    <x v="4"/>
    <x v="4"/>
  </r>
  <r>
    <x v="87"/>
    <x v="87"/>
    <x v="0"/>
    <x v="86"/>
    <x v="1"/>
    <x v="0"/>
    <x v="1"/>
    <x v="0"/>
    <x v="0"/>
    <x v="0"/>
    <x v="0"/>
    <x v="3"/>
    <x v="3"/>
  </r>
  <r>
    <x v="88"/>
    <x v="88"/>
    <x v="2"/>
    <x v="87"/>
    <x v="0"/>
    <x v="2"/>
    <x v="0"/>
    <x v="1"/>
    <x v="1"/>
    <x v="0"/>
    <x v="0"/>
    <x v="2"/>
    <x v="2"/>
  </r>
  <r>
    <x v="89"/>
    <x v="89"/>
    <x v="1"/>
    <x v="88"/>
    <x v="1"/>
    <x v="1"/>
    <x v="2"/>
    <x v="1"/>
    <x v="1"/>
    <x v="1"/>
    <x v="1"/>
    <x v="1"/>
    <x v="1"/>
  </r>
  <r>
    <x v="90"/>
    <x v="90"/>
    <x v="0"/>
    <x v="89"/>
    <x v="0"/>
    <x v="0"/>
    <x v="0"/>
    <x v="0"/>
    <x v="0"/>
    <x v="0"/>
    <x v="0"/>
    <x v="0"/>
    <x v="0"/>
  </r>
  <r>
    <x v="91"/>
    <x v="91"/>
    <x v="2"/>
    <x v="90"/>
    <x v="1"/>
    <x v="2"/>
    <x v="1"/>
    <x v="1"/>
    <x v="1"/>
    <x v="0"/>
    <x v="0"/>
    <x v="6"/>
    <x v="7"/>
  </r>
  <r>
    <x v="92"/>
    <x v="92"/>
    <x v="1"/>
    <x v="91"/>
    <x v="0"/>
    <x v="1"/>
    <x v="0"/>
    <x v="1"/>
    <x v="1"/>
    <x v="1"/>
    <x v="1"/>
    <x v="4"/>
    <x v="4"/>
  </r>
  <r>
    <x v="93"/>
    <x v="93"/>
    <x v="0"/>
    <x v="92"/>
    <x v="1"/>
    <x v="0"/>
    <x v="2"/>
    <x v="0"/>
    <x v="0"/>
    <x v="0"/>
    <x v="0"/>
    <x v="7"/>
    <x v="8"/>
  </r>
  <r>
    <x v="94"/>
    <x v="94"/>
    <x v="2"/>
    <x v="93"/>
    <x v="0"/>
    <x v="2"/>
    <x v="2"/>
    <x v="1"/>
    <x v="1"/>
    <x v="0"/>
    <x v="0"/>
    <x v="6"/>
    <x v="7"/>
  </r>
  <r>
    <x v="95"/>
    <x v="95"/>
    <x v="1"/>
    <x v="94"/>
    <x v="1"/>
    <x v="1"/>
    <x v="1"/>
    <x v="1"/>
    <x v="1"/>
    <x v="1"/>
    <x v="1"/>
    <x v="1"/>
    <x v="1"/>
  </r>
  <r>
    <x v="96"/>
    <x v="96"/>
    <x v="0"/>
    <x v="95"/>
    <x v="0"/>
    <x v="0"/>
    <x v="0"/>
    <x v="0"/>
    <x v="0"/>
    <x v="0"/>
    <x v="0"/>
    <x v="10"/>
    <x v="12"/>
  </r>
  <r>
    <x v="97"/>
    <x v="97"/>
    <x v="2"/>
    <x v="96"/>
    <x v="1"/>
    <x v="2"/>
    <x v="1"/>
    <x v="1"/>
    <x v="1"/>
    <x v="0"/>
    <x v="0"/>
    <x v="2"/>
    <x v="2"/>
  </r>
  <r>
    <x v="98"/>
    <x v="98"/>
    <x v="1"/>
    <x v="97"/>
    <x v="0"/>
    <x v="1"/>
    <x v="2"/>
    <x v="1"/>
    <x v="1"/>
    <x v="1"/>
    <x v="1"/>
    <x v="4"/>
    <x v="4"/>
  </r>
  <r>
    <x v="99"/>
    <x v="99"/>
    <x v="0"/>
    <x v="98"/>
    <x v="1"/>
    <x v="0"/>
    <x v="0"/>
    <x v="0"/>
    <x v="0"/>
    <x v="0"/>
    <x v="0"/>
    <x v="6"/>
    <x v="14"/>
  </r>
  <r>
    <x v="100"/>
    <x v="100"/>
    <x v="2"/>
    <x v="99"/>
    <x v="0"/>
    <x v="2"/>
    <x v="0"/>
    <x v="1"/>
    <x v="1"/>
    <x v="0"/>
    <x v="0"/>
    <x v="0"/>
    <x v="13"/>
  </r>
  <r>
    <x v="101"/>
    <x v="101"/>
    <x v="1"/>
    <x v="100"/>
    <x v="1"/>
    <x v="1"/>
    <x v="1"/>
    <x v="1"/>
    <x v="1"/>
    <x v="1"/>
    <x v="1"/>
    <x v="1"/>
    <x v="1"/>
  </r>
  <r>
    <x v="102"/>
    <x v="102"/>
    <x v="0"/>
    <x v="101"/>
    <x v="0"/>
    <x v="0"/>
    <x v="2"/>
    <x v="0"/>
    <x v="0"/>
    <x v="0"/>
    <x v="0"/>
    <x v="7"/>
    <x v="8"/>
  </r>
  <r>
    <x v="103"/>
    <x v="103"/>
    <x v="2"/>
    <x v="102"/>
    <x v="1"/>
    <x v="2"/>
    <x v="2"/>
    <x v="1"/>
    <x v="1"/>
    <x v="0"/>
    <x v="0"/>
    <x v="9"/>
    <x v="10"/>
  </r>
  <r>
    <x v="104"/>
    <x v="104"/>
    <x v="1"/>
    <x v="103"/>
    <x v="0"/>
    <x v="1"/>
    <x v="0"/>
    <x v="1"/>
    <x v="1"/>
    <x v="1"/>
    <x v="1"/>
    <x v="5"/>
    <x v="11"/>
  </r>
  <r>
    <x v="105"/>
    <x v="105"/>
    <x v="1"/>
    <x v="104"/>
    <x v="0"/>
    <x v="1"/>
    <x v="0"/>
    <x v="1"/>
    <x v="1"/>
    <x v="1"/>
    <x v="1"/>
    <x v="1"/>
    <x v="1"/>
  </r>
  <r>
    <x v="106"/>
    <x v="106"/>
    <x v="0"/>
    <x v="105"/>
    <x v="1"/>
    <x v="0"/>
    <x v="2"/>
    <x v="0"/>
    <x v="0"/>
    <x v="0"/>
    <x v="0"/>
    <x v="10"/>
    <x v="12"/>
  </r>
  <r>
    <x v="107"/>
    <x v="107"/>
    <x v="2"/>
    <x v="106"/>
    <x v="0"/>
    <x v="2"/>
    <x v="1"/>
    <x v="1"/>
    <x v="1"/>
    <x v="0"/>
    <x v="0"/>
    <x v="2"/>
    <x v="2"/>
  </r>
  <r>
    <x v="108"/>
    <x v="108"/>
    <x v="1"/>
    <x v="107"/>
    <x v="1"/>
    <x v="1"/>
    <x v="2"/>
    <x v="1"/>
    <x v="1"/>
    <x v="1"/>
    <x v="1"/>
    <x v="4"/>
    <x v="4"/>
  </r>
  <r>
    <x v="109"/>
    <x v="109"/>
    <x v="0"/>
    <x v="108"/>
    <x v="0"/>
    <x v="0"/>
    <x v="0"/>
    <x v="0"/>
    <x v="0"/>
    <x v="0"/>
    <x v="0"/>
    <x v="6"/>
    <x v="14"/>
  </r>
  <r>
    <x v="110"/>
    <x v="110"/>
    <x v="2"/>
    <x v="109"/>
    <x v="1"/>
    <x v="2"/>
    <x v="0"/>
    <x v="1"/>
    <x v="1"/>
    <x v="0"/>
    <x v="0"/>
    <x v="0"/>
    <x v="13"/>
  </r>
  <r>
    <x v="111"/>
    <x v="111"/>
    <x v="1"/>
    <x v="110"/>
    <x v="0"/>
    <x v="1"/>
    <x v="1"/>
    <x v="1"/>
    <x v="1"/>
    <x v="1"/>
    <x v="1"/>
    <x v="1"/>
    <x v="1"/>
  </r>
  <r>
    <x v="112"/>
    <x v="112"/>
    <x v="0"/>
    <x v="111"/>
    <x v="1"/>
    <x v="0"/>
    <x v="2"/>
    <x v="0"/>
    <x v="0"/>
    <x v="0"/>
    <x v="0"/>
    <x v="7"/>
    <x v="8"/>
  </r>
  <r>
    <x v="113"/>
    <x v="113"/>
    <x v="2"/>
    <x v="112"/>
    <x v="0"/>
    <x v="2"/>
    <x v="2"/>
    <x v="1"/>
    <x v="1"/>
    <x v="0"/>
    <x v="0"/>
    <x v="9"/>
    <x v="10"/>
  </r>
  <r>
    <x v="114"/>
    <x v="114"/>
    <x v="1"/>
    <x v="113"/>
    <x v="1"/>
    <x v="1"/>
    <x v="0"/>
    <x v="1"/>
    <x v="1"/>
    <x v="1"/>
    <x v="1"/>
    <x v="5"/>
    <x v="11"/>
  </r>
  <r>
    <x v="115"/>
    <x v="115"/>
    <x v="0"/>
    <x v="114"/>
    <x v="0"/>
    <x v="0"/>
    <x v="1"/>
    <x v="0"/>
    <x v="0"/>
    <x v="0"/>
    <x v="0"/>
    <x v="0"/>
    <x v="0"/>
  </r>
  <r>
    <x v="116"/>
    <x v="116"/>
    <x v="2"/>
    <x v="115"/>
    <x v="1"/>
    <x v="2"/>
    <x v="0"/>
    <x v="1"/>
    <x v="1"/>
    <x v="0"/>
    <x v="0"/>
    <x v="2"/>
    <x v="2"/>
  </r>
  <r>
    <x v="117"/>
    <x v="117"/>
    <x v="1"/>
    <x v="116"/>
    <x v="0"/>
    <x v="1"/>
    <x v="2"/>
    <x v="1"/>
    <x v="1"/>
    <x v="1"/>
    <x v="1"/>
    <x v="1"/>
    <x v="1"/>
  </r>
  <r>
    <x v="118"/>
    <x v="93"/>
    <x v="0"/>
    <x v="117"/>
    <x v="1"/>
    <x v="0"/>
    <x v="0"/>
    <x v="0"/>
    <x v="0"/>
    <x v="0"/>
    <x v="0"/>
    <x v="3"/>
    <x v="3"/>
  </r>
  <r>
    <x v="119"/>
    <x v="118"/>
    <x v="2"/>
    <x v="118"/>
    <x v="0"/>
    <x v="2"/>
    <x v="1"/>
    <x v="1"/>
    <x v="1"/>
    <x v="0"/>
    <x v="0"/>
    <x v="6"/>
    <x v="7"/>
  </r>
  <r>
    <x v="120"/>
    <x v="119"/>
    <x v="1"/>
    <x v="119"/>
    <x v="1"/>
    <x v="1"/>
    <x v="0"/>
    <x v="1"/>
    <x v="1"/>
    <x v="1"/>
    <x v="1"/>
    <x v="4"/>
    <x v="4"/>
  </r>
  <r>
    <x v="121"/>
    <x v="120"/>
    <x v="0"/>
    <x v="120"/>
    <x v="0"/>
    <x v="0"/>
    <x v="2"/>
    <x v="0"/>
    <x v="0"/>
    <x v="0"/>
    <x v="0"/>
    <x v="10"/>
    <x v="12"/>
  </r>
  <r>
    <x v="122"/>
    <x v="121"/>
    <x v="2"/>
    <x v="121"/>
    <x v="1"/>
    <x v="2"/>
    <x v="0"/>
    <x v="1"/>
    <x v="1"/>
    <x v="0"/>
    <x v="0"/>
    <x v="2"/>
    <x v="2"/>
  </r>
  <r>
    <x v="123"/>
    <x v="122"/>
    <x v="1"/>
    <x v="122"/>
    <x v="0"/>
    <x v="1"/>
    <x v="1"/>
    <x v="1"/>
    <x v="1"/>
    <x v="1"/>
    <x v="1"/>
    <x v="1"/>
    <x v="1"/>
  </r>
  <r>
    <x v="124"/>
    <x v="123"/>
    <x v="0"/>
    <x v="123"/>
    <x v="1"/>
    <x v="0"/>
    <x v="0"/>
    <x v="0"/>
    <x v="0"/>
    <x v="0"/>
    <x v="0"/>
    <x v="7"/>
    <x v="8"/>
  </r>
  <r>
    <x v="125"/>
    <x v="124"/>
    <x v="2"/>
    <x v="124"/>
    <x v="0"/>
    <x v="2"/>
    <x v="2"/>
    <x v="1"/>
    <x v="1"/>
    <x v="0"/>
    <x v="0"/>
    <x v="6"/>
    <x v="7"/>
  </r>
  <r>
    <x v="126"/>
    <x v="125"/>
    <x v="1"/>
    <x v="125"/>
    <x v="1"/>
    <x v="1"/>
    <x v="0"/>
    <x v="1"/>
    <x v="1"/>
    <x v="1"/>
    <x v="1"/>
    <x v="4"/>
    <x v="4"/>
  </r>
  <r>
    <x v="127"/>
    <x v="126"/>
    <x v="0"/>
    <x v="126"/>
    <x v="0"/>
    <x v="0"/>
    <x v="1"/>
    <x v="0"/>
    <x v="0"/>
    <x v="0"/>
    <x v="0"/>
    <x v="3"/>
    <x v="3"/>
  </r>
  <r>
    <x v="128"/>
    <x v="127"/>
    <x v="2"/>
    <x v="127"/>
    <x v="1"/>
    <x v="2"/>
    <x v="0"/>
    <x v="1"/>
    <x v="1"/>
    <x v="0"/>
    <x v="0"/>
    <x v="2"/>
    <x v="2"/>
  </r>
  <r>
    <x v="129"/>
    <x v="128"/>
    <x v="1"/>
    <x v="128"/>
    <x v="0"/>
    <x v="1"/>
    <x v="2"/>
    <x v="1"/>
    <x v="1"/>
    <x v="1"/>
    <x v="1"/>
    <x v="1"/>
    <x v="1"/>
  </r>
  <r>
    <x v="130"/>
    <x v="129"/>
    <x v="0"/>
    <x v="129"/>
    <x v="1"/>
    <x v="0"/>
    <x v="0"/>
    <x v="0"/>
    <x v="0"/>
    <x v="0"/>
    <x v="0"/>
    <x v="6"/>
    <x v="14"/>
  </r>
  <r>
    <x v="131"/>
    <x v="130"/>
    <x v="2"/>
    <x v="130"/>
    <x v="0"/>
    <x v="2"/>
    <x v="1"/>
    <x v="1"/>
    <x v="1"/>
    <x v="0"/>
    <x v="0"/>
    <x v="6"/>
    <x v="7"/>
  </r>
  <r>
    <x v="132"/>
    <x v="131"/>
    <x v="1"/>
    <x v="131"/>
    <x v="1"/>
    <x v="1"/>
    <x v="0"/>
    <x v="1"/>
    <x v="1"/>
    <x v="1"/>
    <x v="1"/>
    <x v="4"/>
    <x v="4"/>
  </r>
  <r>
    <x v="133"/>
    <x v="132"/>
    <x v="0"/>
    <x v="132"/>
    <x v="0"/>
    <x v="0"/>
    <x v="2"/>
    <x v="0"/>
    <x v="0"/>
    <x v="0"/>
    <x v="0"/>
    <x v="10"/>
    <x v="12"/>
  </r>
  <r>
    <x v="134"/>
    <x v="133"/>
    <x v="2"/>
    <x v="133"/>
    <x v="1"/>
    <x v="2"/>
    <x v="0"/>
    <x v="1"/>
    <x v="1"/>
    <x v="0"/>
    <x v="0"/>
    <x v="2"/>
    <x v="2"/>
  </r>
  <r>
    <x v="135"/>
    <x v="134"/>
    <x v="1"/>
    <x v="134"/>
    <x v="0"/>
    <x v="1"/>
    <x v="0"/>
    <x v="1"/>
    <x v="1"/>
    <x v="1"/>
    <x v="1"/>
    <x v="1"/>
    <x v="1"/>
  </r>
  <r>
    <x v="136"/>
    <x v="135"/>
    <x v="0"/>
    <x v="135"/>
    <x v="1"/>
    <x v="0"/>
    <x v="2"/>
    <x v="0"/>
    <x v="0"/>
    <x v="0"/>
    <x v="0"/>
    <x v="10"/>
    <x v="12"/>
  </r>
  <r>
    <x v="137"/>
    <x v="136"/>
    <x v="2"/>
    <x v="136"/>
    <x v="0"/>
    <x v="2"/>
    <x v="1"/>
    <x v="1"/>
    <x v="1"/>
    <x v="0"/>
    <x v="0"/>
    <x v="2"/>
    <x v="2"/>
  </r>
  <r>
    <x v="138"/>
    <x v="137"/>
    <x v="1"/>
    <x v="137"/>
    <x v="1"/>
    <x v="1"/>
    <x v="2"/>
    <x v="1"/>
    <x v="1"/>
    <x v="1"/>
    <x v="1"/>
    <x v="4"/>
    <x v="4"/>
  </r>
  <r>
    <x v="139"/>
    <x v="138"/>
    <x v="0"/>
    <x v="138"/>
    <x v="0"/>
    <x v="0"/>
    <x v="0"/>
    <x v="0"/>
    <x v="0"/>
    <x v="0"/>
    <x v="0"/>
    <x v="6"/>
    <x v="14"/>
  </r>
  <r>
    <x v="140"/>
    <x v="139"/>
    <x v="2"/>
    <x v="139"/>
    <x v="1"/>
    <x v="2"/>
    <x v="0"/>
    <x v="1"/>
    <x v="1"/>
    <x v="0"/>
    <x v="0"/>
    <x v="0"/>
    <x v="13"/>
  </r>
  <r>
    <x v="141"/>
    <x v="140"/>
    <x v="1"/>
    <x v="140"/>
    <x v="0"/>
    <x v="1"/>
    <x v="1"/>
    <x v="1"/>
    <x v="1"/>
    <x v="1"/>
    <x v="1"/>
    <x v="1"/>
    <x v="1"/>
  </r>
  <r>
    <x v="142"/>
    <x v="141"/>
    <x v="0"/>
    <x v="141"/>
    <x v="1"/>
    <x v="0"/>
    <x v="2"/>
    <x v="0"/>
    <x v="0"/>
    <x v="0"/>
    <x v="0"/>
    <x v="7"/>
    <x v="8"/>
  </r>
  <r>
    <x v="143"/>
    <x v="142"/>
    <x v="2"/>
    <x v="142"/>
    <x v="0"/>
    <x v="2"/>
    <x v="2"/>
    <x v="1"/>
    <x v="1"/>
    <x v="0"/>
    <x v="0"/>
    <x v="9"/>
    <x v="10"/>
  </r>
  <r>
    <x v="144"/>
    <x v="143"/>
    <x v="1"/>
    <x v="143"/>
    <x v="1"/>
    <x v="1"/>
    <x v="0"/>
    <x v="1"/>
    <x v="1"/>
    <x v="1"/>
    <x v="1"/>
    <x v="5"/>
    <x v="11"/>
  </r>
  <r>
    <x v="145"/>
    <x v="144"/>
    <x v="0"/>
    <x v="144"/>
    <x v="0"/>
    <x v="0"/>
    <x v="1"/>
    <x v="0"/>
    <x v="0"/>
    <x v="0"/>
    <x v="0"/>
    <x v="0"/>
    <x v="0"/>
  </r>
  <r>
    <x v="146"/>
    <x v="145"/>
    <x v="2"/>
    <x v="145"/>
    <x v="1"/>
    <x v="2"/>
    <x v="0"/>
    <x v="1"/>
    <x v="1"/>
    <x v="0"/>
    <x v="0"/>
    <x v="2"/>
    <x v="2"/>
  </r>
  <r>
    <x v="147"/>
    <x v="146"/>
    <x v="1"/>
    <x v="146"/>
    <x v="0"/>
    <x v="1"/>
    <x v="2"/>
    <x v="1"/>
    <x v="1"/>
    <x v="1"/>
    <x v="1"/>
    <x v="1"/>
    <x v="1"/>
  </r>
  <r>
    <x v="148"/>
    <x v="147"/>
    <x v="0"/>
    <x v="147"/>
    <x v="1"/>
    <x v="0"/>
    <x v="0"/>
    <x v="0"/>
    <x v="0"/>
    <x v="0"/>
    <x v="0"/>
    <x v="3"/>
    <x v="3"/>
  </r>
  <r>
    <x v="149"/>
    <x v="148"/>
    <x v="2"/>
    <x v="148"/>
    <x v="0"/>
    <x v="2"/>
    <x v="1"/>
    <x v="1"/>
    <x v="1"/>
    <x v="0"/>
    <x v="0"/>
    <x v="6"/>
    <x v="7"/>
  </r>
  <r>
    <x v="150"/>
    <x v="149"/>
    <x v="1"/>
    <x v="149"/>
    <x v="1"/>
    <x v="1"/>
    <x v="0"/>
    <x v="1"/>
    <x v="1"/>
    <x v="1"/>
    <x v="1"/>
    <x v="4"/>
    <x v="4"/>
  </r>
  <r>
    <x v="151"/>
    <x v="150"/>
    <x v="0"/>
    <x v="150"/>
    <x v="0"/>
    <x v="0"/>
    <x v="2"/>
    <x v="0"/>
    <x v="0"/>
    <x v="0"/>
    <x v="0"/>
    <x v="10"/>
    <x v="12"/>
  </r>
  <r>
    <x v="152"/>
    <x v="151"/>
    <x v="2"/>
    <x v="151"/>
    <x v="1"/>
    <x v="2"/>
    <x v="0"/>
    <x v="1"/>
    <x v="1"/>
    <x v="0"/>
    <x v="0"/>
    <x v="2"/>
    <x v="2"/>
  </r>
  <r>
    <x v="153"/>
    <x v="152"/>
    <x v="1"/>
    <x v="152"/>
    <x v="0"/>
    <x v="1"/>
    <x v="1"/>
    <x v="1"/>
    <x v="1"/>
    <x v="1"/>
    <x v="1"/>
    <x v="1"/>
    <x v="1"/>
  </r>
  <r>
    <x v="154"/>
    <x v="153"/>
    <x v="0"/>
    <x v="153"/>
    <x v="1"/>
    <x v="0"/>
    <x v="0"/>
    <x v="0"/>
    <x v="0"/>
    <x v="0"/>
    <x v="0"/>
    <x v="7"/>
    <x v="8"/>
  </r>
  <r>
    <x v="155"/>
    <x v="154"/>
    <x v="2"/>
    <x v="154"/>
    <x v="0"/>
    <x v="2"/>
    <x v="2"/>
    <x v="1"/>
    <x v="1"/>
    <x v="0"/>
    <x v="0"/>
    <x v="6"/>
    <x v="7"/>
  </r>
  <r>
    <x v="156"/>
    <x v="155"/>
    <x v="1"/>
    <x v="155"/>
    <x v="1"/>
    <x v="1"/>
    <x v="0"/>
    <x v="1"/>
    <x v="1"/>
    <x v="1"/>
    <x v="1"/>
    <x v="4"/>
    <x v="4"/>
  </r>
  <r>
    <x v="157"/>
    <x v="156"/>
    <x v="0"/>
    <x v="156"/>
    <x v="0"/>
    <x v="0"/>
    <x v="1"/>
    <x v="0"/>
    <x v="0"/>
    <x v="0"/>
    <x v="0"/>
    <x v="3"/>
    <x v="3"/>
  </r>
  <r>
    <x v="158"/>
    <x v="157"/>
    <x v="2"/>
    <x v="157"/>
    <x v="1"/>
    <x v="2"/>
    <x v="0"/>
    <x v="1"/>
    <x v="1"/>
    <x v="0"/>
    <x v="0"/>
    <x v="2"/>
    <x v="2"/>
  </r>
  <r>
    <x v="159"/>
    <x v="158"/>
    <x v="1"/>
    <x v="158"/>
    <x v="0"/>
    <x v="1"/>
    <x v="2"/>
    <x v="1"/>
    <x v="1"/>
    <x v="1"/>
    <x v="1"/>
    <x v="1"/>
    <x v="1"/>
  </r>
  <r>
    <x v="160"/>
    <x v="58"/>
    <x v="0"/>
    <x v="159"/>
    <x v="1"/>
    <x v="0"/>
    <x v="0"/>
    <x v="0"/>
    <x v="0"/>
    <x v="0"/>
    <x v="0"/>
    <x v="6"/>
    <x v="14"/>
  </r>
  <r>
    <x v="161"/>
    <x v="159"/>
    <x v="2"/>
    <x v="160"/>
    <x v="0"/>
    <x v="2"/>
    <x v="1"/>
    <x v="1"/>
    <x v="1"/>
    <x v="0"/>
    <x v="0"/>
    <x v="6"/>
    <x v="7"/>
  </r>
  <r>
    <x v="162"/>
    <x v="160"/>
    <x v="1"/>
    <x v="161"/>
    <x v="1"/>
    <x v="1"/>
    <x v="0"/>
    <x v="1"/>
    <x v="1"/>
    <x v="1"/>
    <x v="1"/>
    <x v="4"/>
    <x v="4"/>
  </r>
  <r>
    <x v="163"/>
    <x v="161"/>
    <x v="0"/>
    <x v="162"/>
    <x v="0"/>
    <x v="0"/>
    <x v="2"/>
    <x v="0"/>
    <x v="0"/>
    <x v="0"/>
    <x v="0"/>
    <x v="10"/>
    <x v="12"/>
  </r>
  <r>
    <x v="164"/>
    <x v="162"/>
    <x v="2"/>
    <x v="163"/>
    <x v="1"/>
    <x v="2"/>
    <x v="0"/>
    <x v="1"/>
    <x v="1"/>
    <x v="0"/>
    <x v="0"/>
    <x v="2"/>
    <x v="2"/>
  </r>
  <r>
    <x v="165"/>
    <x v="163"/>
    <x v="1"/>
    <x v="164"/>
    <x v="0"/>
    <x v="1"/>
    <x v="1"/>
    <x v="1"/>
    <x v="1"/>
    <x v="1"/>
    <x v="1"/>
    <x v="1"/>
    <x v="1"/>
  </r>
  <r>
    <x v="166"/>
    <x v="90"/>
    <x v="0"/>
    <x v="165"/>
    <x v="1"/>
    <x v="0"/>
    <x v="0"/>
    <x v="0"/>
    <x v="0"/>
    <x v="0"/>
    <x v="0"/>
    <x v="7"/>
    <x v="8"/>
  </r>
  <r>
    <x v="167"/>
    <x v="164"/>
    <x v="2"/>
    <x v="166"/>
    <x v="0"/>
    <x v="2"/>
    <x v="2"/>
    <x v="1"/>
    <x v="1"/>
    <x v="0"/>
    <x v="0"/>
    <x v="6"/>
    <x v="7"/>
  </r>
  <r>
    <x v="168"/>
    <x v="165"/>
    <x v="1"/>
    <x v="167"/>
    <x v="1"/>
    <x v="1"/>
    <x v="0"/>
    <x v="1"/>
    <x v="1"/>
    <x v="1"/>
    <x v="1"/>
    <x v="4"/>
    <x v="4"/>
  </r>
  <r>
    <x v="169"/>
    <x v="166"/>
    <x v="0"/>
    <x v="168"/>
    <x v="0"/>
    <x v="0"/>
    <x v="1"/>
    <x v="0"/>
    <x v="0"/>
    <x v="0"/>
    <x v="0"/>
    <x v="0"/>
    <x v="0"/>
  </r>
  <r>
    <x v="170"/>
    <x v="167"/>
    <x v="2"/>
    <x v="169"/>
    <x v="1"/>
    <x v="2"/>
    <x v="0"/>
    <x v="1"/>
    <x v="1"/>
    <x v="0"/>
    <x v="0"/>
    <x v="2"/>
    <x v="2"/>
  </r>
  <r>
    <x v="171"/>
    <x v="168"/>
    <x v="1"/>
    <x v="170"/>
    <x v="0"/>
    <x v="1"/>
    <x v="2"/>
    <x v="1"/>
    <x v="1"/>
    <x v="1"/>
    <x v="1"/>
    <x v="1"/>
    <x v="1"/>
  </r>
  <r>
    <x v="172"/>
    <x v="169"/>
    <x v="0"/>
    <x v="171"/>
    <x v="1"/>
    <x v="0"/>
    <x v="0"/>
    <x v="0"/>
    <x v="0"/>
    <x v="0"/>
    <x v="0"/>
    <x v="3"/>
    <x v="3"/>
  </r>
  <r>
    <x v="173"/>
    <x v="170"/>
    <x v="2"/>
    <x v="172"/>
    <x v="0"/>
    <x v="2"/>
    <x v="1"/>
    <x v="1"/>
    <x v="1"/>
    <x v="0"/>
    <x v="0"/>
    <x v="6"/>
    <x v="7"/>
  </r>
  <r>
    <x v="174"/>
    <x v="171"/>
    <x v="1"/>
    <x v="173"/>
    <x v="1"/>
    <x v="1"/>
    <x v="0"/>
    <x v="1"/>
    <x v="1"/>
    <x v="1"/>
    <x v="1"/>
    <x v="4"/>
    <x v="4"/>
  </r>
  <r>
    <x v="175"/>
    <x v="172"/>
    <x v="1"/>
    <x v="174"/>
    <x v="0"/>
    <x v="1"/>
    <x v="0"/>
    <x v="1"/>
    <x v="1"/>
    <x v="1"/>
    <x v="1"/>
    <x v="1"/>
    <x v="1"/>
  </r>
  <r>
    <x v="176"/>
    <x v="173"/>
    <x v="0"/>
    <x v="175"/>
    <x v="1"/>
    <x v="0"/>
    <x v="2"/>
    <x v="0"/>
    <x v="0"/>
    <x v="0"/>
    <x v="0"/>
    <x v="10"/>
    <x v="12"/>
  </r>
  <r>
    <x v="177"/>
    <x v="174"/>
    <x v="2"/>
    <x v="176"/>
    <x v="0"/>
    <x v="2"/>
    <x v="1"/>
    <x v="1"/>
    <x v="1"/>
    <x v="0"/>
    <x v="0"/>
    <x v="2"/>
    <x v="2"/>
  </r>
  <r>
    <x v="178"/>
    <x v="175"/>
    <x v="1"/>
    <x v="177"/>
    <x v="1"/>
    <x v="1"/>
    <x v="2"/>
    <x v="1"/>
    <x v="1"/>
    <x v="1"/>
    <x v="1"/>
    <x v="4"/>
    <x v="4"/>
  </r>
  <r>
    <x v="179"/>
    <x v="176"/>
    <x v="0"/>
    <x v="178"/>
    <x v="0"/>
    <x v="0"/>
    <x v="0"/>
    <x v="0"/>
    <x v="0"/>
    <x v="0"/>
    <x v="0"/>
    <x v="6"/>
    <x v="14"/>
  </r>
  <r>
    <x v="180"/>
    <x v="177"/>
    <x v="2"/>
    <x v="179"/>
    <x v="1"/>
    <x v="2"/>
    <x v="0"/>
    <x v="1"/>
    <x v="1"/>
    <x v="0"/>
    <x v="0"/>
    <x v="0"/>
    <x v="13"/>
  </r>
  <r>
    <x v="181"/>
    <x v="178"/>
    <x v="1"/>
    <x v="180"/>
    <x v="0"/>
    <x v="1"/>
    <x v="1"/>
    <x v="1"/>
    <x v="1"/>
    <x v="1"/>
    <x v="1"/>
    <x v="1"/>
    <x v="1"/>
  </r>
  <r>
    <x v="182"/>
    <x v="179"/>
    <x v="0"/>
    <x v="181"/>
    <x v="1"/>
    <x v="0"/>
    <x v="2"/>
    <x v="0"/>
    <x v="0"/>
    <x v="0"/>
    <x v="0"/>
    <x v="7"/>
    <x v="8"/>
  </r>
  <r>
    <x v="183"/>
    <x v="180"/>
    <x v="2"/>
    <x v="182"/>
    <x v="0"/>
    <x v="2"/>
    <x v="2"/>
    <x v="1"/>
    <x v="1"/>
    <x v="0"/>
    <x v="0"/>
    <x v="9"/>
    <x v="10"/>
  </r>
  <r>
    <x v="184"/>
    <x v="181"/>
    <x v="1"/>
    <x v="183"/>
    <x v="1"/>
    <x v="1"/>
    <x v="0"/>
    <x v="1"/>
    <x v="1"/>
    <x v="1"/>
    <x v="1"/>
    <x v="5"/>
    <x v="11"/>
  </r>
  <r>
    <x v="185"/>
    <x v="182"/>
    <x v="0"/>
    <x v="184"/>
    <x v="0"/>
    <x v="0"/>
    <x v="1"/>
    <x v="0"/>
    <x v="0"/>
    <x v="0"/>
    <x v="0"/>
    <x v="0"/>
    <x v="0"/>
  </r>
  <r>
    <x v="186"/>
    <x v="183"/>
    <x v="2"/>
    <x v="185"/>
    <x v="1"/>
    <x v="2"/>
    <x v="0"/>
    <x v="1"/>
    <x v="1"/>
    <x v="0"/>
    <x v="0"/>
    <x v="2"/>
    <x v="2"/>
  </r>
  <r>
    <x v="187"/>
    <x v="184"/>
    <x v="1"/>
    <x v="186"/>
    <x v="0"/>
    <x v="1"/>
    <x v="2"/>
    <x v="1"/>
    <x v="1"/>
    <x v="1"/>
    <x v="1"/>
    <x v="1"/>
    <x v="1"/>
  </r>
  <r>
    <x v="188"/>
    <x v="185"/>
    <x v="0"/>
    <x v="187"/>
    <x v="1"/>
    <x v="0"/>
    <x v="0"/>
    <x v="0"/>
    <x v="0"/>
    <x v="0"/>
    <x v="0"/>
    <x v="3"/>
    <x v="3"/>
  </r>
  <r>
    <x v="189"/>
    <x v="186"/>
    <x v="2"/>
    <x v="188"/>
    <x v="0"/>
    <x v="2"/>
    <x v="1"/>
    <x v="1"/>
    <x v="1"/>
    <x v="0"/>
    <x v="0"/>
    <x v="6"/>
    <x v="7"/>
  </r>
  <r>
    <x v="190"/>
    <x v="15"/>
    <x v="1"/>
    <x v="189"/>
    <x v="1"/>
    <x v="1"/>
    <x v="0"/>
    <x v="1"/>
    <x v="1"/>
    <x v="1"/>
    <x v="1"/>
    <x v="4"/>
    <x v="4"/>
  </r>
  <r>
    <x v="191"/>
    <x v="187"/>
    <x v="0"/>
    <x v="190"/>
    <x v="0"/>
    <x v="0"/>
    <x v="2"/>
    <x v="0"/>
    <x v="0"/>
    <x v="0"/>
    <x v="0"/>
    <x v="10"/>
    <x v="12"/>
  </r>
  <r>
    <x v="192"/>
    <x v="188"/>
    <x v="2"/>
    <x v="191"/>
    <x v="1"/>
    <x v="2"/>
    <x v="0"/>
    <x v="1"/>
    <x v="1"/>
    <x v="0"/>
    <x v="0"/>
    <x v="2"/>
    <x v="2"/>
  </r>
  <r>
    <x v="193"/>
    <x v="14"/>
    <x v="1"/>
    <x v="192"/>
    <x v="0"/>
    <x v="1"/>
    <x v="1"/>
    <x v="1"/>
    <x v="1"/>
    <x v="1"/>
    <x v="1"/>
    <x v="1"/>
    <x v="1"/>
  </r>
  <r>
    <x v="194"/>
    <x v="189"/>
    <x v="0"/>
    <x v="193"/>
    <x v="1"/>
    <x v="0"/>
    <x v="0"/>
    <x v="0"/>
    <x v="0"/>
    <x v="0"/>
    <x v="0"/>
    <x v="7"/>
    <x v="8"/>
  </r>
  <r>
    <x v="195"/>
    <x v="167"/>
    <x v="2"/>
    <x v="194"/>
    <x v="0"/>
    <x v="2"/>
    <x v="2"/>
    <x v="1"/>
    <x v="1"/>
    <x v="0"/>
    <x v="0"/>
    <x v="6"/>
    <x v="7"/>
  </r>
  <r>
    <x v="196"/>
    <x v="190"/>
    <x v="1"/>
    <x v="195"/>
    <x v="1"/>
    <x v="1"/>
    <x v="0"/>
    <x v="1"/>
    <x v="1"/>
    <x v="1"/>
    <x v="1"/>
    <x v="4"/>
    <x v="4"/>
  </r>
  <r>
    <x v="197"/>
    <x v="191"/>
    <x v="0"/>
    <x v="196"/>
    <x v="0"/>
    <x v="0"/>
    <x v="1"/>
    <x v="0"/>
    <x v="0"/>
    <x v="0"/>
    <x v="0"/>
    <x v="3"/>
    <x v="3"/>
  </r>
  <r>
    <x v="198"/>
    <x v="192"/>
    <x v="2"/>
    <x v="197"/>
    <x v="1"/>
    <x v="2"/>
    <x v="0"/>
    <x v="1"/>
    <x v="1"/>
    <x v="0"/>
    <x v="0"/>
    <x v="2"/>
    <x v="2"/>
  </r>
  <r>
    <x v="199"/>
    <x v="193"/>
    <x v="1"/>
    <x v="198"/>
    <x v="0"/>
    <x v="1"/>
    <x v="2"/>
    <x v="1"/>
    <x v="1"/>
    <x v="1"/>
    <x v="1"/>
    <x v="1"/>
    <x v="1"/>
  </r>
  <r>
    <x v="200"/>
    <x v="194"/>
    <x v="0"/>
    <x v="199"/>
    <x v="1"/>
    <x v="0"/>
    <x v="0"/>
    <x v="0"/>
    <x v="0"/>
    <x v="0"/>
    <x v="0"/>
    <x v="6"/>
    <x v="14"/>
  </r>
  <r>
    <x v="201"/>
    <x v="195"/>
    <x v="2"/>
    <x v="200"/>
    <x v="0"/>
    <x v="2"/>
    <x v="1"/>
    <x v="1"/>
    <x v="1"/>
    <x v="0"/>
    <x v="0"/>
    <x v="6"/>
    <x v="7"/>
  </r>
  <r>
    <x v="202"/>
    <x v="196"/>
    <x v="1"/>
    <x v="201"/>
    <x v="1"/>
    <x v="1"/>
    <x v="0"/>
    <x v="1"/>
    <x v="1"/>
    <x v="1"/>
    <x v="1"/>
    <x v="4"/>
    <x v="4"/>
  </r>
  <r>
    <x v="203"/>
    <x v="197"/>
    <x v="0"/>
    <x v="202"/>
    <x v="0"/>
    <x v="0"/>
    <x v="2"/>
    <x v="0"/>
    <x v="0"/>
    <x v="0"/>
    <x v="0"/>
    <x v="10"/>
    <x v="12"/>
  </r>
  <r>
    <x v="204"/>
    <x v="198"/>
    <x v="2"/>
    <x v="203"/>
    <x v="1"/>
    <x v="2"/>
    <x v="0"/>
    <x v="1"/>
    <x v="1"/>
    <x v="0"/>
    <x v="0"/>
    <x v="2"/>
    <x v="2"/>
  </r>
  <r>
    <x v="205"/>
    <x v="199"/>
    <x v="1"/>
    <x v="204"/>
    <x v="0"/>
    <x v="1"/>
    <x v="0"/>
    <x v="1"/>
    <x v="1"/>
    <x v="1"/>
    <x v="1"/>
    <x v="1"/>
    <x v="1"/>
  </r>
  <r>
    <x v="206"/>
    <x v="200"/>
    <x v="0"/>
    <x v="205"/>
    <x v="1"/>
    <x v="0"/>
    <x v="2"/>
    <x v="0"/>
    <x v="0"/>
    <x v="0"/>
    <x v="0"/>
    <x v="10"/>
    <x v="12"/>
  </r>
  <r>
    <x v="207"/>
    <x v="201"/>
    <x v="2"/>
    <x v="206"/>
    <x v="0"/>
    <x v="2"/>
    <x v="1"/>
    <x v="1"/>
    <x v="1"/>
    <x v="0"/>
    <x v="0"/>
    <x v="2"/>
    <x v="2"/>
  </r>
  <r>
    <x v="208"/>
    <x v="202"/>
    <x v="1"/>
    <x v="207"/>
    <x v="1"/>
    <x v="1"/>
    <x v="2"/>
    <x v="1"/>
    <x v="1"/>
    <x v="1"/>
    <x v="1"/>
    <x v="4"/>
    <x v="4"/>
  </r>
  <r>
    <x v="209"/>
    <x v="203"/>
    <x v="0"/>
    <x v="208"/>
    <x v="0"/>
    <x v="0"/>
    <x v="0"/>
    <x v="0"/>
    <x v="0"/>
    <x v="0"/>
    <x v="0"/>
    <x v="6"/>
    <x v="14"/>
  </r>
  <r>
    <x v="210"/>
    <x v="204"/>
    <x v="2"/>
    <x v="209"/>
    <x v="1"/>
    <x v="2"/>
    <x v="0"/>
    <x v="1"/>
    <x v="1"/>
    <x v="0"/>
    <x v="0"/>
    <x v="0"/>
    <x v="13"/>
  </r>
  <r>
    <x v="211"/>
    <x v="205"/>
    <x v="1"/>
    <x v="210"/>
    <x v="0"/>
    <x v="1"/>
    <x v="1"/>
    <x v="1"/>
    <x v="1"/>
    <x v="1"/>
    <x v="1"/>
    <x v="1"/>
    <x v="1"/>
  </r>
  <r>
    <x v="212"/>
    <x v="206"/>
    <x v="0"/>
    <x v="211"/>
    <x v="1"/>
    <x v="0"/>
    <x v="2"/>
    <x v="0"/>
    <x v="0"/>
    <x v="0"/>
    <x v="0"/>
    <x v="7"/>
    <x v="8"/>
  </r>
  <r>
    <x v="213"/>
    <x v="207"/>
    <x v="2"/>
    <x v="212"/>
    <x v="0"/>
    <x v="2"/>
    <x v="2"/>
    <x v="1"/>
    <x v="1"/>
    <x v="0"/>
    <x v="0"/>
    <x v="9"/>
    <x v="10"/>
  </r>
  <r>
    <x v="214"/>
    <x v="37"/>
    <x v="1"/>
    <x v="213"/>
    <x v="1"/>
    <x v="1"/>
    <x v="0"/>
    <x v="1"/>
    <x v="1"/>
    <x v="1"/>
    <x v="1"/>
    <x v="5"/>
    <x v="11"/>
  </r>
  <r>
    <x v="215"/>
    <x v="208"/>
    <x v="0"/>
    <x v="214"/>
    <x v="0"/>
    <x v="0"/>
    <x v="1"/>
    <x v="0"/>
    <x v="0"/>
    <x v="0"/>
    <x v="0"/>
    <x v="0"/>
    <x v="0"/>
  </r>
  <r>
    <x v="216"/>
    <x v="209"/>
    <x v="2"/>
    <x v="215"/>
    <x v="1"/>
    <x v="2"/>
    <x v="0"/>
    <x v="1"/>
    <x v="1"/>
    <x v="0"/>
    <x v="0"/>
    <x v="2"/>
    <x v="2"/>
  </r>
  <r>
    <x v="217"/>
    <x v="210"/>
    <x v="1"/>
    <x v="216"/>
    <x v="0"/>
    <x v="1"/>
    <x v="2"/>
    <x v="1"/>
    <x v="1"/>
    <x v="1"/>
    <x v="1"/>
    <x v="1"/>
    <x v="1"/>
  </r>
  <r>
    <x v="218"/>
    <x v="211"/>
    <x v="0"/>
    <x v="217"/>
    <x v="1"/>
    <x v="0"/>
    <x v="0"/>
    <x v="0"/>
    <x v="0"/>
    <x v="0"/>
    <x v="0"/>
    <x v="3"/>
    <x v="3"/>
  </r>
  <r>
    <x v="219"/>
    <x v="212"/>
    <x v="2"/>
    <x v="218"/>
    <x v="0"/>
    <x v="2"/>
    <x v="1"/>
    <x v="1"/>
    <x v="1"/>
    <x v="0"/>
    <x v="0"/>
    <x v="6"/>
    <x v="7"/>
  </r>
  <r>
    <x v="220"/>
    <x v="213"/>
    <x v="1"/>
    <x v="219"/>
    <x v="1"/>
    <x v="1"/>
    <x v="0"/>
    <x v="1"/>
    <x v="1"/>
    <x v="1"/>
    <x v="1"/>
    <x v="4"/>
    <x v="4"/>
  </r>
  <r>
    <x v="221"/>
    <x v="191"/>
    <x v="0"/>
    <x v="220"/>
    <x v="0"/>
    <x v="0"/>
    <x v="2"/>
    <x v="0"/>
    <x v="0"/>
    <x v="0"/>
    <x v="0"/>
    <x v="10"/>
    <x v="12"/>
  </r>
  <r>
    <x v="222"/>
    <x v="45"/>
    <x v="2"/>
    <x v="221"/>
    <x v="1"/>
    <x v="2"/>
    <x v="0"/>
    <x v="1"/>
    <x v="1"/>
    <x v="0"/>
    <x v="0"/>
    <x v="2"/>
    <x v="2"/>
  </r>
  <r>
    <x v="223"/>
    <x v="214"/>
    <x v="1"/>
    <x v="222"/>
    <x v="0"/>
    <x v="1"/>
    <x v="1"/>
    <x v="1"/>
    <x v="1"/>
    <x v="1"/>
    <x v="1"/>
    <x v="1"/>
    <x v="1"/>
  </r>
  <r>
    <x v="224"/>
    <x v="215"/>
    <x v="0"/>
    <x v="223"/>
    <x v="1"/>
    <x v="0"/>
    <x v="0"/>
    <x v="0"/>
    <x v="0"/>
    <x v="0"/>
    <x v="0"/>
    <x v="7"/>
    <x v="8"/>
  </r>
  <r>
    <x v="225"/>
    <x v="216"/>
    <x v="2"/>
    <x v="224"/>
    <x v="0"/>
    <x v="2"/>
    <x v="2"/>
    <x v="1"/>
    <x v="1"/>
    <x v="0"/>
    <x v="0"/>
    <x v="6"/>
    <x v="7"/>
  </r>
  <r>
    <x v="226"/>
    <x v="217"/>
    <x v="1"/>
    <x v="225"/>
    <x v="1"/>
    <x v="1"/>
    <x v="0"/>
    <x v="1"/>
    <x v="1"/>
    <x v="1"/>
    <x v="1"/>
    <x v="4"/>
    <x v="4"/>
  </r>
  <r>
    <x v="227"/>
    <x v="218"/>
    <x v="0"/>
    <x v="226"/>
    <x v="0"/>
    <x v="0"/>
    <x v="1"/>
    <x v="0"/>
    <x v="0"/>
    <x v="0"/>
    <x v="0"/>
    <x v="3"/>
    <x v="3"/>
  </r>
  <r>
    <x v="228"/>
    <x v="219"/>
    <x v="2"/>
    <x v="227"/>
    <x v="1"/>
    <x v="2"/>
    <x v="0"/>
    <x v="1"/>
    <x v="1"/>
    <x v="0"/>
    <x v="0"/>
    <x v="2"/>
    <x v="2"/>
  </r>
  <r>
    <x v="229"/>
    <x v="127"/>
    <x v="1"/>
    <x v="228"/>
    <x v="0"/>
    <x v="1"/>
    <x v="2"/>
    <x v="1"/>
    <x v="1"/>
    <x v="1"/>
    <x v="1"/>
    <x v="1"/>
    <x v="1"/>
  </r>
  <r>
    <x v="230"/>
    <x v="220"/>
    <x v="0"/>
    <x v="229"/>
    <x v="1"/>
    <x v="0"/>
    <x v="0"/>
    <x v="0"/>
    <x v="0"/>
    <x v="0"/>
    <x v="0"/>
    <x v="6"/>
    <x v="14"/>
  </r>
  <r>
    <x v="231"/>
    <x v="221"/>
    <x v="2"/>
    <x v="230"/>
    <x v="0"/>
    <x v="2"/>
    <x v="1"/>
    <x v="1"/>
    <x v="1"/>
    <x v="0"/>
    <x v="0"/>
    <x v="6"/>
    <x v="7"/>
  </r>
  <r>
    <x v="232"/>
    <x v="222"/>
    <x v="1"/>
    <x v="231"/>
    <x v="1"/>
    <x v="1"/>
    <x v="0"/>
    <x v="1"/>
    <x v="1"/>
    <x v="1"/>
    <x v="1"/>
    <x v="4"/>
    <x v="4"/>
  </r>
  <r>
    <x v="233"/>
    <x v="223"/>
    <x v="0"/>
    <x v="232"/>
    <x v="0"/>
    <x v="0"/>
    <x v="2"/>
    <x v="0"/>
    <x v="0"/>
    <x v="0"/>
    <x v="0"/>
    <x v="10"/>
    <x v="12"/>
  </r>
  <r>
    <x v="234"/>
    <x v="224"/>
    <x v="2"/>
    <x v="233"/>
    <x v="1"/>
    <x v="2"/>
    <x v="0"/>
    <x v="1"/>
    <x v="1"/>
    <x v="0"/>
    <x v="0"/>
    <x v="2"/>
    <x v="2"/>
  </r>
  <r>
    <x v="235"/>
    <x v="225"/>
    <x v="1"/>
    <x v="234"/>
    <x v="0"/>
    <x v="1"/>
    <x v="1"/>
    <x v="1"/>
    <x v="1"/>
    <x v="1"/>
    <x v="1"/>
    <x v="1"/>
    <x v="1"/>
  </r>
  <r>
    <x v="236"/>
    <x v="226"/>
    <x v="0"/>
    <x v="235"/>
    <x v="1"/>
    <x v="0"/>
    <x v="0"/>
    <x v="0"/>
    <x v="0"/>
    <x v="0"/>
    <x v="0"/>
    <x v="6"/>
    <x v="14"/>
  </r>
  <r>
    <x v="237"/>
    <x v="227"/>
    <x v="2"/>
    <x v="236"/>
    <x v="0"/>
    <x v="2"/>
    <x v="2"/>
    <x v="1"/>
    <x v="1"/>
    <x v="0"/>
    <x v="0"/>
    <x v="9"/>
    <x v="10"/>
  </r>
  <r>
    <x v="238"/>
    <x v="228"/>
    <x v="1"/>
    <x v="237"/>
    <x v="1"/>
    <x v="1"/>
    <x v="0"/>
    <x v="1"/>
    <x v="1"/>
    <x v="1"/>
    <x v="1"/>
    <x v="5"/>
    <x v="11"/>
  </r>
  <r>
    <x v="239"/>
    <x v="229"/>
    <x v="0"/>
    <x v="238"/>
    <x v="0"/>
    <x v="0"/>
    <x v="1"/>
    <x v="0"/>
    <x v="0"/>
    <x v="0"/>
    <x v="0"/>
    <x v="0"/>
    <x v="0"/>
  </r>
  <r>
    <x v="240"/>
    <x v="230"/>
    <x v="2"/>
    <x v="239"/>
    <x v="1"/>
    <x v="2"/>
    <x v="0"/>
    <x v="1"/>
    <x v="1"/>
    <x v="0"/>
    <x v="0"/>
    <x v="2"/>
    <x v="2"/>
  </r>
  <r>
    <x v="241"/>
    <x v="231"/>
    <x v="1"/>
    <x v="240"/>
    <x v="0"/>
    <x v="1"/>
    <x v="2"/>
    <x v="1"/>
    <x v="1"/>
    <x v="1"/>
    <x v="1"/>
    <x v="1"/>
    <x v="1"/>
  </r>
  <r>
    <x v="242"/>
    <x v="140"/>
    <x v="0"/>
    <x v="241"/>
    <x v="1"/>
    <x v="0"/>
    <x v="0"/>
    <x v="0"/>
    <x v="0"/>
    <x v="0"/>
    <x v="0"/>
    <x v="3"/>
    <x v="3"/>
  </r>
  <r>
    <x v="243"/>
    <x v="232"/>
    <x v="2"/>
    <x v="242"/>
    <x v="0"/>
    <x v="2"/>
    <x v="1"/>
    <x v="1"/>
    <x v="1"/>
    <x v="0"/>
    <x v="0"/>
    <x v="6"/>
    <x v="7"/>
  </r>
  <r>
    <x v="244"/>
    <x v="233"/>
    <x v="1"/>
    <x v="243"/>
    <x v="1"/>
    <x v="1"/>
    <x v="0"/>
    <x v="1"/>
    <x v="1"/>
    <x v="1"/>
    <x v="1"/>
    <x v="4"/>
    <x v="4"/>
  </r>
  <r>
    <x v="245"/>
    <x v="234"/>
    <x v="0"/>
    <x v="244"/>
    <x v="0"/>
    <x v="0"/>
    <x v="2"/>
    <x v="0"/>
    <x v="0"/>
    <x v="0"/>
    <x v="0"/>
    <x v="10"/>
    <x v="12"/>
  </r>
  <r>
    <x v="246"/>
    <x v="235"/>
    <x v="2"/>
    <x v="245"/>
    <x v="1"/>
    <x v="2"/>
    <x v="0"/>
    <x v="1"/>
    <x v="1"/>
    <x v="0"/>
    <x v="0"/>
    <x v="2"/>
    <x v="2"/>
  </r>
  <r>
    <x v="247"/>
    <x v="236"/>
    <x v="1"/>
    <x v="246"/>
    <x v="0"/>
    <x v="1"/>
    <x v="1"/>
    <x v="1"/>
    <x v="1"/>
    <x v="1"/>
    <x v="1"/>
    <x v="1"/>
    <x v="1"/>
  </r>
  <r>
    <x v="248"/>
    <x v="237"/>
    <x v="0"/>
    <x v="247"/>
    <x v="1"/>
    <x v="0"/>
    <x v="0"/>
    <x v="0"/>
    <x v="0"/>
    <x v="0"/>
    <x v="0"/>
    <x v="7"/>
    <x v="8"/>
  </r>
  <r>
    <x v="249"/>
    <x v="238"/>
    <x v="2"/>
    <x v="248"/>
    <x v="0"/>
    <x v="2"/>
    <x v="2"/>
    <x v="1"/>
    <x v="1"/>
    <x v="0"/>
    <x v="0"/>
    <x v="6"/>
    <x v="7"/>
  </r>
  <r>
    <x v="250"/>
    <x v="239"/>
    <x v="1"/>
    <x v="249"/>
    <x v="1"/>
    <x v="1"/>
    <x v="0"/>
    <x v="1"/>
    <x v="1"/>
    <x v="1"/>
    <x v="1"/>
    <x v="4"/>
    <x v="4"/>
  </r>
  <r>
    <x v="251"/>
    <x v="240"/>
    <x v="0"/>
    <x v="250"/>
    <x v="0"/>
    <x v="0"/>
    <x v="1"/>
    <x v="0"/>
    <x v="0"/>
    <x v="0"/>
    <x v="0"/>
    <x v="3"/>
    <x v="3"/>
  </r>
  <r>
    <x v="252"/>
    <x v="241"/>
    <x v="2"/>
    <x v="251"/>
    <x v="1"/>
    <x v="2"/>
    <x v="0"/>
    <x v="1"/>
    <x v="1"/>
    <x v="0"/>
    <x v="0"/>
    <x v="2"/>
    <x v="2"/>
  </r>
  <r>
    <x v="253"/>
    <x v="242"/>
    <x v="1"/>
    <x v="252"/>
    <x v="0"/>
    <x v="1"/>
    <x v="2"/>
    <x v="1"/>
    <x v="1"/>
    <x v="1"/>
    <x v="1"/>
    <x v="1"/>
    <x v="1"/>
  </r>
  <r>
    <x v="254"/>
    <x v="243"/>
    <x v="0"/>
    <x v="253"/>
    <x v="1"/>
    <x v="0"/>
    <x v="0"/>
    <x v="0"/>
    <x v="0"/>
    <x v="0"/>
    <x v="0"/>
    <x v="6"/>
    <x v="14"/>
  </r>
  <r>
    <x v="255"/>
    <x v="244"/>
    <x v="1"/>
    <x v="254"/>
    <x v="0"/>
    <x v="1"/>
    <x v="0"/>
    <x v="1"/>
    <x v="1"/>
    <x v="1"/>
    <x v="1"/>
    <x v="1"/>
    <x v="1"/>
  </r>
  <r>
    <x v="256"/>
    <x v="245"/>
    <x v="0"/>
    <x v="255"/>
    <x v="1"/>
    <x v="0"/>
    <x v="2"/>
    <x v="0"/>
    <x v="0"/>
    <x v="0"/>
    <x v="0"/>
    <x v="10"/>
    <x v="12"/>
  </r>
  <r>
    <x v="257"/>
    <x v="246"/>
    <x v="2"/>
    <x v="256"/>
    <x v="0"/>
    <x v="2"/>
    <x v="1"/>
    <x v="1"/>
    <x v="1"/>
    <x v="0"/>
    <x v="0"/>
    <x v="2"/>
    <x v="2"/>
  </r>
  <r>
    <x v="258"/>
    <x v="247"/>
    <x v="1"/>
    <x v="257"/>
    <x v="1"/>
    <x v="1"/>
    <x v="2"/>
    <x v="1"/>
    <x v="1"/>
    <x v="1"/>
    <x v="1"/>
    <x v="4"/>
    <x v="4"/>
  </r>
  <r>
    <x v="259"/>
    <x v="248"/>
    <x v="0"/>
    <x v="258"/>
    <x v="0"/>
    <x v="0"/>
    <x v="0"/>
    <x v="0"/>
    <x v="0"/>
    <x v="0"/>
    <x v="0"/>
    <x v="6"/>
    <x v="14"/>
  </r>
  <r>
    <x v="260"/>
    <x v="249"/>
    <x v="2"/>
    <x v="259"/>
    <x v="1"/>
    <x v="2"/>
    <x v="0"/>
    <x v="1"/>
    <x v="1"/>
    <x v="0"/>
    <x v="0"/>
    <x v="0"/>
    <x v="13"/>
  </r>
  <r>
    <x v="261"/>
    <x v="250"/>
    <x v="1"/>
    <x v="260"/>
    <x v="0"/>
    <x v="1"/>
    <x v="1"/>
    <x v="1"/>
    <x v="1"/>
    <x v="1"/>
    <x v="1"/>
    <x v="1"/>
    <x v="1"/>
  </r>
  <r>
    <x v="262"/>
    <x v="251"/>
    <x v="0"/>
    <x v="261"/>
    <x v="1"/>
    <x v="0"/>
    <x v="2"/>
    <x v="0"/>
    <x v="0"/>
    <x v="0"/>
    <x v="0"/>
    <x v="7"/>
    <x v="8"/>
  </r>
  <r>
    <x v="263"/>
    <x v="252"/>
    <x v="2"/>
    <x v="262"/>
    <x v="0"/>
    <x v="2"/>
    <x v="2"/>
    <x v="1"/>
    <x v="1"/>
    <x v="0"/>
    <x v="0"/>
    <x v="9"/>
    <x v="10"/>
  </r>
  <r>
    <x v="264"/>
    <x v="253"/>
    <x v="1"/>
    <x v="263"/>
    <x v="1"/>
    <x v="1"/>
    <x v="0"/>
    <x v="1"/>
    <x v="1"/>
    <x v="1"/>
    <x v="1"/>
    <x v="5"/>
    <x v="11"/>
  </r>
  <r>
    <x v="265"/>
    <x v="254"/>
    <x v="0"/>
    <x v="264"/>
    <x v="0"/>
    <x v="0"/>
    <x v="1"/>
    <x v="0"/>
    <x v="0"/>
    <x v="0"/>
    <x v="0"/>
    <x v="0"/>
    <x v="0"/>
  </r>
  <r>
    <x v="266"/>
    <x v="255"/>
    <x v="2"/>
    <x v="265"/>
    <x v="1"/>
    <x v="2"/>
    <x v="0"/>
    <x v="1"/>
    <x v="1"/>
    <x v="0"/>
    <x v="0"/>
    <x v="2"/>
    <x v="2"/>
  </r>
  <r>
    <x v="267"/>
    <x v="256"/>
    <x v="1"/>
    <x v="266"/>
    <x v="0"/>
    <x v="1"/>
    <x v="2"/>
    <x v="1"/>
    <x v="1"/>
    <x v="1"/>
    <x v="1"/>
    <x v="1"/>
    <x v="1"/>
  </r>
  <r>
    <x v="268"/>
    <x v="257"/>
    <x v="0"/>
    <x v="267"/>
    <x v="1"/>
    <x v="0"/>
    <x v="0"/>
    <x v="0"/>
    <x v="0"/>
    <x v="0"/>
    <x v="0"/>
    <x v="3"/>
    <x v="3"/>
  </r>
  <r>
    <x v="269"/>
    <x v="258"/>
    <x v="2"/>
    <x v="268"/>
    <x v="0"/>
    <x v="2"/>
    <x v="1"/>
    <x v="1"/>
    <x v="1"/>
    <x v="0"/>
    <x v="0"/>
    <x v="6"/>
    <x v="7"/>
  </r>
  <r>
    <x v="270"/>
    <x v="259"/>
    <x v="1"/>
    <x v="269"/>
    <x v="1"/>
    <x v="1"/>
    <x v="0"/>
    <x v="1"/>
    <x v="1"/>
    <x v="1"/>
    <x v="1"/>
    <x v="4"/>
    <x v="4"/>
  </r>
  <r>
    <x v="271"/>
    <x v="260"/>
    <x v="0"/>
    <x v="270"/>
    <x v="0"/>
    <x v="0"/>
    <x v="2"/>
    <x v="0"/>
    <x v="0"/>
    <x v="0"/>
    <x v="0"/>
    <x v="10"/>
    <x v="12"/>
  </r>
  <r>
    <x v="272"/>
    <x v="119"/>
    <x v="2"/>
    <x v="271"/>
    <x v="1"/>
    <x v="2"/>
    <x v="0"/>
    <x v="1"/>
    <x v="1"/>
    <x v="0"/>
    <x v="0"/>
    <x v="2"/>
    <x v="2"/>
  </r>
  <r>
    <x v="273"/>
    <x v="261"/>
    <x v="1"/>
    <x v="272"/>
    <x v="0"/>
    <x v="1"/>
    <x v="1"/>
    <x v="1"/>
    <x v="1"/>
    <x v="1"/>
    <x v="1"/>
    <x v="1"/>
    <x v="1"/>
  </r>
  <r>
    <x v="274"/>
    <x v="262"/>
    <x v="0"/>
    <x v="273"/>
    <x v="1"/>
    <x v="0"/>
    <x v="0"/>
    <x v="0"/>
    <x v="0"/>
    <x v="0"/>
    <x v="0"/>
    <x v="7"/>
    <x v="8"/>
  </r>
  <r>
    <x v="275"/>
    <x v="263"/>
    <x v="2"/>
    <x v="274"/>
    <x v="0"/>
    <x v="2"/>
    <x v="2"/>
    <x v="1"/>
    <x v="1"/>
    <x v="0"/>
    <x v="0"/>
    <x v="6"/>
    <x v="7"/>
  </r>
  <r>
    <x v="276"/>
    <x v="264"/>
    <x v="1"/>
    <x v="275"/>
    <x v="1"/>
    <x v="1"/>
    <x v="0"/>
    <x v="1"/>
    <x v="1"/>
    <x v="1"/>
    <x v="1"/>
    <x v="4"/>
    <x v="4"/>
  </r>
  <r>
    <x v="277"/>
    <x v="265"/>
    <x v="0"/>
    <x v="276"/>
    <x v="0"/>
    <x v="0"/>
    <x v="1"/>
    <x v="0"/>
    <x v="0"/>
    <x v="0"/>
    <x v="0"/>
    <x v="3"/>
    <x v="3"/>
  </r>
  <r>
    <x v="278"/>
    <x v="266"/>
    <x v="2"/>
    <x v="277"/>
    <x v="1"/>
    <x v="2"/>
    <x v="0"/>
    <x v="1"/>
    <x v="1"/>
    <x v="0"/>
    <x v="0"/>
    <x v="2"/>
    <x v="2"/>
  </r>
  <r>
    <x v="279"/>
    <x v="267"/>
    <x v="1"/>
    <x v="278"/>
    <x v="0"/>
    <x v="1"/>
    <x v="2"/>
    <x v="1"/>
    <x v="1"/>
    <x v="1"/>
    <x v="1"/>
    <x v="1"/>
    <x v="1"/>
  </r>
  <r>
    <x v="280"/>
    <x v="268"/>
    <x v="0"/>
    <x v="279"/>
    <x v="1"/>
    <x v="0"/>
    <x v="0"/>
    <x v="0"/>
    <x v="0"/>
    <x v="0"/>
    <x v="0"/>
    <x v="6"/>
    <x v="14"/>
  </r>
  <r>
    <x v="281"/>
    <x v="269"/>
    <x v="2"/>
    <x v="280"/>
    <x v="0"/>
    <x v="2"/>
    <x v="1"/>
    <x v="1"/>
    <x v="1"/>
    <x v="0"/>
    <x v="0"/>
    <x v="6"/>
    <x v="7"/>
  </r>
  <r>
    <x v="282"/>
    <x v="270"/>
    <x v="1"/>
    <x v="281"/>
    <x v="1"/>
    <x v="1"/>
    <x v="0"/>
    <x v="1"/>
    <x v="1"/>
    <x v="1"/>
    <x v="1"/>
    <x v="4"/>
    <x v="4"/>
  </r>
  <r>
    <x v="283"/>
    <x v="271"/>
    <x v="0"/>
    <x v="282"/>
    <x v="0"/>
    <x v="0"/>
    <x v="2"/>
    <x v="0"/>
    <x v="0"/>
    <x v="0"/>
    <x v="0"/>
    <x v="10"/>
    <x v="12"/>
  </r>
  <r>
    <x v="284"/>
    <x v="130"/>
    <x v="2"/>
    <x v="283"/>
    <x v="1"/>
    <x v="2"/>
    <x v="0"/>
    <x v="1"/>
    <x v="1"/>
    <x v="0"/>
    <x v="0"/>
    <x v="2"/>
    <x v="2"/>
  </r>
  <r>
    <x v="285"/>
    <x v="131"/>
    <x v="1"/>
    <x v="284"/>
    <x v="0"/>
    <x v="1"/>
    <x v="1"/>
    <x v="1"/>
    <x v="1"/>
    <x v="1"/>
    <x v="1"/>
    <x v="1"/>
    <x v="1"/>
  </r>
  <r>
    <x v="286"/>
    <x v="181"/>
    <x v="0"/>
    <x v="285"/>
    <x v="1"/>
    <x v="0"/>
    <x v="0"/>
    <x v="0"/>
    <x v="0"/>
    <x v="0"/>
    <x v="0"/>
    <x v="7"/>
    <x v="8"/>
  </r>
  <r>
    <x v="287"/>
    <x v="272"/>
    <x v="2"/>
    <x v="286"/>
    <x v="0"/>
    <x v="2"/>
    <x v="2"/>
    <x v="1"/>
    <x v="1"/>
    <x v="0"/>
    <x v="0"/>
    <x v="9"/>
    <x v="10"/>
  </r>
  <r>
    <x v="288"/>
    <x v="273"/>
    <x v="1"/>
    <x v="287"/>
    <x v="1"/>
    <x v="1"/>
    <x v="0"/>
    <x v="1"/>
    <x v="1"/>
    <x v="1"/>
    <x v="1"/>
    <x v="5"/>
    <x v="11"/>
  </r>
  <r>
    <x v="289"/>
    <x v="274"/>
    <x v="0"/>
    <x v="288"/>
    <x v="0"/>
    <x v="0"/>
    <x v="1"/>
    <x v="0"/>
    <x v="0"/>
    <x v="0"/>
    <x v="0"/>
    <x v="0"/>
    <x v="0"/>
  </r>
  <r>
    <x v="290"/>
    <x v="275"/>
    <x v="2"/>
    <x v="289"/>
    <x v="1"/>
    <x v="2"/>
    <x v="0"/>
    <x v="1"/>
    <x v="1"/>
    <x v="0"/>
    <x v="0"/>
    <x v="2"/>
    <x v="2"/>
  </r>
  <r>
    <x v="291"/>
    <x v="276"/>
    <x v="1"/>
    <x v="290"/>
    <x v="0"/>
    <x v="1"/>
    <x v="2"/>
    <x v="1"/>
    <x v="1"/>
    <x v="1"/>
    <x v="1"/>
    <x v="1"/>
    <x v="1"/>
  </r>
  <r>
    <x v="292"/>
    <x v="277"/>
    <x v="0"/>
    <x v="291"/>
    <x v="1"/>
    <x v="0"/>
    <x v="0"/>
    <x v="0"/>
    <x v="0"/>
    <x v="0"/>
    <x v="0"/>
    <x v="3"/>
    <x v="3"/>
  </r>
  <r>
    <x v="293"/>
    <x v="278"/>
    <x v="2"/>
    <x v="292"/>
    <x v="0"/>
    <x v="2"/>
    <x v="1"/>
    <x v="1"/>
    <x v="1"/>
    <x v="0"/>
    <x v="0"/>
    <x v="6"/>
    <x v="7"/>
  </r>
  <r>
    <x v="294"/>
    <x v="279"/>
    <x v="1"/>
    <x v="293"/>
    <x v="1"/>
    <x v="1"/>
    <x v="0"/>
    <x v="1"/>
    <x v="1"/>
    <x v="1"/>
    <x v="1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_minecraftseasonpass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C41:D4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annual_renew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C19:D22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formats count="1">
    <format dxfId="16">
      <pivotArea outline="0" collapsedLevelsAreSubtotals="1" fieldPosition="0"/>
    </format>
  </formats>
  <chartFormats count="1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C29:D3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bl_coupon_discount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8">
  <location ref="C65:E68" firstHeaderRow="0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sd="0" x="1"/>
        <item h="1" sd="0"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numFmtId="44" showAll="0"/>
    <pivotField dataField="1" numFmtId="44" showAll="0"/>
    <pivotField dataField="1" numFmtId="44"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Desconto total" fld="11" baseField="6" baseItem="0"/>
    <dataField name="Faturamento total" fld="12" baseField="0" baseItem="0"/>
  </dataFields>
  <formats count="1">
    <format dxfId="18">
      <pivotArea outline="0" collapsedLevelsAreSubtotals="1" fieldPosition="0"/>
    </format>
  </format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9:D11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axis="axisRow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2">
    <i>
      <x v="2"/>
    </i>
    <i t="grand">
      <x/>
    </i>
  </rowItems>
  <colItems count="1">
    <i/>
  </colItems>
  <dataFields count="1">
    <dataField name="Soma de Total Value" fld="12" baseField="0" baseItem="0" numFmtId="44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79:D83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2">
    <field x="6"/>
    <field x="9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Média de Total Value" fld="12" subtotal="average" baseField="6" baseItem="0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52:D59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dataField="1" numFmtId="44" showAll="0"/>
  </pivotFields>
  <rowFields count="2">
    <field x="4"/>
    <field x="7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renewal"/>
    <pivotTable tabId="3" name="tbl_annual_total"/>
    <pivotTable tabId="3" name="tbl_easeasonpass_total"/>
    <pivotTable tabId="3" name="tbl_minecraftseasonpass_total"/>
    <pivotTable tabId="3" name="tbl_coupon_discount"/>
  </pivotTables>
  <data>
    <tabular pivotCacheId="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1" cache="SegmentaçãodeDados_Subscription_Type" caption="Subscription Type" rowHeight="241300"/>
</slicers>
</file>

<file path=xl/tables/table1.xml><?xml version="1.0" encoding="utf-8"?>
<table xmlns="http://schemas.openxmlformats.org/spreadsheetml/2006/main" id="1" name="Tabela1" displayName="Tabela1" ref="A1:M296" totalsRowShown="0" dataDxfId="35">
  <autoFilter ref="A1:M296">
    <filterColumn colId="6">
      <filters>
        <filter val="Monthly"/>
      </filters>
    </filterColumn>
    <filterColumn colId="7">
      <filters>
        <filter val="Yes"/>
      </filters>
    </filterColumn>
  </autoFilter>
  <tableColumns count="13">
    <tableColumn id="1" name="Subscriber ID" dataDxfId="34"/>
    <tableColumn id="2" name="Name" dataDxfId="33"/>
    <tableColumn id="3" name="Plan" dataDxfId="32"/>
    <tableColumn id="4" name="Start Date" dataDxfId="31"/>
    <tableColumn id="5" name="Auto Renewal" dataDxfId="30"/>
    <tableColumn id="6" name="Subscription Price" dataDxfId="29" dataCellStyle="Moeda"/>
    <tableColumn id="7" name="Subscription Type" dataDxfId="28"/>
    <tableColumn id="8" name="EA Play Season Pass" dataDxfId="27"/>
    <tableColumn id="13" name="EA Play Season Pass_x000a_Price" dataDxfId="26" dataCellStyle="Moeda"/>
    <tableColumn id="9" name="Minecraft Season Pass" dataDxfId="25"/>
    <tableColumn id="10" name="Minecraft Season Pass Price" dataDxfId="24" dataCellStyle="Moeda"/>
    <tableColumn id="11" name="Coupon Value" dataDxfId="23" dataCellStyle="Moeda"/>
    <tableColumn id="12" name="Total Value" dataDxfId="2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C9" sqref="C9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9" spans="2:16">
      <c r="B9" s="18" t="s">
        <v>330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D162" sqref="D162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C3:F83"/>
  <sheetViews>
    <sheetView showGridLines="0" workbookViewId="0">
      <selection activeCell="C36" sqref="C36"/>
    </sheetView>
  </sheetViews>
  <sheetFormatPr defaultRowHeight="14.25"/>
  <cols>
    <col min="3" max="3" width="18" customWidth="1"/>
    <col min="4" max="4" width="13.875" customWidth="1"/>
    <col min="5" max="5" width="16.5" customWidth="1"/>
    <col min="6" max="6" width="25.875" customWidth="1"/>
    <col min="7" max="7" width="22.25" customWidth="1"/>
    <col min="8" max="8" width="13.875" customWidth="1"/>
    <col min="9" max="10" width="16.5" customWidth="1"/>
    <col min="11" max="11" width="14.5" customWidth="1"/>
    <col min="12" max="12" width="16.625" bestFit="1" customWidth="1"/>
    <col min="13" max="13" width="10.125" bestFit="1" customWidth="1"/>
    <col min="14" max="14" width="10.75" bestFit="1" customWidth="1"/>
    <col min="15" max="15" width="12.125" bestFit="1" customWidth="1"/>
    <col min="16" max="16" width="13.875" customWidth="1"/>
    <col min="17" max="17" width="15.5" bestFit="1" customWidth="1"/>
    <col min="18" max="18" width="14.125" bestFit="1" customWidth="1"/>
    <col min="19" max="19" width="13.375" bestFit="1" customWidth="1"/>
    <col min="20" max="20" width="13.625" bestFit="1" customWidth="1"/>
    <col min="21" max="21" width="13.875" bestFit="1" customWidth="1"/>
    <col min="22" max="22" width="16.625" bestFit="1" customWidth="1"/>
    <col min="23" max="23" width="12" bestFit="1" customWidth="1"/>
    <col min="24" max="24" width="14.125" bestFit="1" customWidth="1"/>
    <col min="25" max="25" width="15.25" bestFit="1" customWidth="1"/>
    <col min="26" max="26" width="11.25" bestFit="1" customWidth="1"/>
    <col min="27" max="27" width="13.625" bestFit="1" customWidth="1"/>
    <col min="28" max="28" width="14.125" bestFit="1" customWidth="1"/>
    <col min="29" max="29" width="13.125" bestFit="1" customWidth="1"/>
    <col min="30" max="30" width="12.5" bestFit="1" customWidth="1"/>
    <col min="31" max="31" width="11.875" bestFit="1" customWidth="1"/>
    <col min="32" max="32" width="13.875" bestFit="1" customWidth="1"/>
    <col min="33" max="33" width="10.875" bestFit="1" customWidth="1"/>
    <col min="34" max="34" width="9.875" bestFit="1" customWidth="1"/>
    <col min="35" max="35" width="13.25" bestFit="1" customWidth="1"/>
    <col min="36" max="36" width="15.375" bestFit="1" customWidth="1"/>
    <col min="37" max="37" width="13.5" bestFit="1" customWidth="1"/>
    <col min="38" max="38" width="14.75" bestFit="1" customWidth="1"/>
    <col min="39" max="39" width="16.125" bestFit="1" customWidth="1"/>
    <col min="40" max="40" width="11.875" bestFit="1" customWidth="1"/>
    <col min="41" max="43" width="13.75" bestFit="1" customWidth="1"/>
    <col min="44" max="44" width="12" bestFit="1" customWidth="1"/>
    <col min="45" max="45" width="16" bestFit="1" customWidth="1"/>
    <col min="46" max="46" width="12.75" bestFit="1" customWidth="1"/>
    <col min="47" max="47" width="15.5" bestFit="1" customWidth="1"/>
    <col min="48" max="48" width="11.5" bestFit="1" customWidth="1"/>
    <col min="49" max="49" width="13.375" bestFit="1" customWidth="1"/>
    <col min="50" max="50" width="13.25" bestFit="1" customWidth="1"/>
    <col min="51" max="51" width="12.625" bestFit="1" customWidth="1"/>
    <col min="52" max="53" width="12.125" bestFit="1" customWidth="1"/>
    <col min="54" max="54" width="14.125" bestFit="1" customWidth="1"/>
    <col min="55" max="55" width="13.125" bestFit="1" customWidth="1"/>
    <col min="56" max="56" width="15.125" bestFit="1" customWidth="1"/>
    <col min="57" max="57" width="15" bestFit="1" customWidth="1"/>
    <col min="58" max="58" width="12.75" bestFit="1" customWidth="1"/>
    <col min="59" max="59" width="11.5" bestFit="1" customWidth="1"/>
    <col min="60" max="60" width="12.25" bestFit="1" customWidth="1"/>
    <col min="61" max="61" width="15.25" bestFit="1" customWidth="1"/>
    <col min="62" max="62" width="11.375" bestFit="1" customWidth="1"/>
    <col min="63" max="63" width="14.75" bestFit="1" customWidth="1"/>
    <col min="64" max="64" width="11.625" bestFit="1" customWidth="1"/>
    <col min="65" max="65" width="14" bestFit="1" customWidth="1"/>
    <col min="66" max="66" width="12.375" bestFit="1" customWidth="1"/>
    <col min="67" max="67" width="14.75" bestFit="1" customWidth="1"/>
    <col min="68" max="68" width="13.125" bestFit="1" customWidth="1"/>
    <col min="69" max="69" width="14.875" bestFit="1" customWidth="1"/>
    <col min="70" max="70" width="13" bestFit="1" customWidth="1"/>
    <col min="71" max="71" width="11.75" bestFit="1" customWidth="1"/>
    <col min="72" max="72" width="11.25" bestFit="1" customWidth="1"/>
    <col min="73" max="73" width="12" bestFit="1" customWidth="1"/>
    <col min="74" max="74" width="16.125" bestFit="1" customWidth="1"/>
    <col min="75" max="75" width="14" bestFit="1" customWidth="1"/>
    <col min="76" max="76" width="15" bestFit="1" customWidth="1"/>
    <col min="77" max="77" width="14.125" bestFit="1" customWidth="1"/>
    <col min="78" max="78" width="15.25" bestFit="1" customWidth="1"/>
    <col min="79" max="79" width="14.75" bestFit="1" customWidth="1"/>
    <col min="80" max="81" width="15.125" bestFit="1" customWidth="1"/>
    <col min="82" max="82" width="15.375" bestFit="1" customWidth="1"/>
    <col min="83" max="83" width="12.75" bestFit="1" customWidth="1"/>
    <col min="84" max="84" width="14.25" bestFit="1" customWidth="1"/>
    <col min="85" max="85" width="16.25" bestFit="1" customWidth="1"/>
    <col min="86" max="86" width="11.75" bestFit="1" customWidth="1"/>
    <col min="87" max="87" width="13.5" bestFit="1" customWidth="1"/>
    <col min="88" max="88" width="14.875" bestFit="1" customWidth="1"/>
    <col min="89" max="89" width="14.25" bestFit="1" customWidth="1"/>
    <col min="90" max="90" width="13.875" bestFit="1" customWidth="1"/>
    <col min="91" max="91" width="11.875" bestFit="1" customWidth="1"/>
    <col min="92" max="92" width="11.125" bestFit="1" customWidth="1"/>
    <col min="93" max="93" width="12.625" bestFit="1" customWidth="1"/>
    <col min="94" max="94" width="13.625" bestFit="1" customWidth="1"/>
    <col min="95" max="95" width="19.375" bestFit="1" customWidth="1"/>
    <col min="96" max="96" width="11.5" bestFit="1" customWidth="1"/>
    <col min="97" max="97" width="12" bestFit="1" customWidth="1"/>
    <col min="98" max="98" width="10.625" bestFit="1" customWidth="1"/>
    <col min="99" max="99" width="11" bestFit="1" customWidth="1"/>
    <col min="100" max="100" width="14.75" bestFit="1" customWidth="1"/>
    <col min="101" max="101" width="11.75" bestFit="1" customWidth="1"/>
    <col min="102" max="102" width="10.25" bestFit="1" customWidth="1"/>
    <col min="103" max="103" width="15.25" bestFit="1" customWidth="1"/>
    <col min="104" max="104" width="14.625" bestFit="1" customWidth="1"/>
    <col min="105" max="105" width="13.25" bestFit="1" customWidth="1"/>
    <col min="106" max="106" width="16.375" bestFit="1" customWidth="1"/>
    <col min="107" max="107" width="13.5" bestFit="1" customWidth="1"/>
    <col min="108" max="108" width="13.75" bestFit="1" customWidth="1"/>
    <col min="109" max="109" width="12.75" bestFit="1" customWidth="1"/>
    <col min="110" max="110" width="18.375" bestFit="1" customWidth="1"/>
    <col min="111" max="111" width="18.625" bestFit="1" customWidth="1"/>
    <col min="112" max="112" width="12.125" bestFit="1" customWidth="1"/>
    <col min="113" max="113" width="10" bestFit="1" customWidth="1"/>
    <col min="114" max="114" width="16.25" bestFit="1" customWidth="1"/>
    <col min="115" max="115" width="13.875" bestFit="1" customWidth="1"/>
    <col min="116" max="116" width="12.625" bestFit="1" customWidth="1"/>
    <col min="117" max="117" width="10.875" bestFit="1" customWidth="1"/>
    <col min="118" max="118" width="11.125" bestFit="1" customWidth="1"/>
    <col min="119" max="119" width="14.875" bestFit="1" customWidth="1"/>
    <col min="120" max="120" width="13.625" bestFit="1" customWidth="1"/>
    <col min="121" max="121" width="10.375" bestFit="1" customWidth="1"/>
    <col min="122" max="122" width="15.5" bestFit="1" customWidth="1"/>
    <col min="123" max="123" width="14.5" bestFit="1" customWidth="1"/>
    <col min="124" max="124" width="10.875" bestFit="1" customWidth="1"/>
    <col min="125" max="125" width="14.125" bestFit="1" customWidth="1"/>
    <col min="126" max="126" width="12.375" bestFit="1" customWidth="1"/>
    <col min="127" max="127" width="16.25" bestFit="1" customWidth="1"/>
    <col min="128" max="128" width="13.375" bestFit="1" customWidth="1"/>
    <col min="129" max="129" width="13.875" bestFit="1" customWidth="1"/>
    <col min="130" max="130" width="16" bestFit="1" customWidth="1"/>
    <col min="131" max="131" width="15.5" bestFit="1" customWidth="1"/>
    <col min="132" max="132" width="14.375" bestFit="1" customWidth="1"/>
    <col min="133" max="133" width="14.5" bestFit="1" customWidth="1"/>
    <col min="134" max="134" width="15.5" bestFit="1" customWidth="1"/>
    <col min="135" max="135" width="14.375" bestFit="1" customWidth="1"/>
    <col min="136" max="136" width="14.5" bestFit="1" customWidth="1"/>
    <col min="137" max="137" width="16" bestFit="1" customWidth="1"/>
    <col min="138" max="138" width="14.5" bestFit="1" customWidth="1"/>
    <col min="139" max="139" width="16.125" bestFit="1" customWidth="1"/>
    <col min="140" max="140" width="15.375" bestFit="1" customWidth="1"/>
    <col min="141" max="141" width="11.375" bestFit="1" customWidth="1"/>
    <col min="142" max="142" width="11.75" bestFit="1" customWidth="1"/>
    <col min="143" max="143" width="11.375" bestFit="1" customWidth="1"/>
    <col min="144" max="144" width="14.25" bestFit="1" customWidth="1"/>
    <col min="145" max="145" width="15.25" bestFit="1" customWidth="1"/>
    <col min="146" max="146" width="14.875" bestFit="1" customWidth="1"/>
    <col min="147" max="147" width="13.375" bestFit="1" customWidth="1"/>
    <col min="148" max="148" width="13.5" bestFit="1" customWidth="1"/>
    <col min="149" max="149" width="14.125" bestFit="1" customWidth="1"/>
    <col min="150" max="150" width="11.5" bestFit="1" customWidth="1"/>
    <col min="151" max="151" width="13.5" bestFit="1" customWidth="1"/>
    <col min="152" max="152" width="13.375" bestFit="1" customWidth="1"/>
    <col min="153" max="153" width="12.5" bestFit="1" customWidth="1"/>
    <col min="154" max="154" width="13.75" bestFit="1" customWidth="1"/>
    <col min="155" max="155" width="14.5" bestFit="1" customWidth="1"/>
    <col min="156" max="156" width="12.125" bestFit="1" customWidth="1"/>
    <col min="157" max="157" width="12.5" bestFit="1" customWidth="1"/>
    <col min="158" max="159" width="13.125" bestFit="1" customWidth="1"/>
    <col min="160" max="160" width="16.625" bestFit="1" customWidth="1"/>
    <col min="161" max="161" width="12.625" bestFit="1" customWidth="1"/>
    <col min="162" max="162" width="10.5" bestFit="1" customWidth="1"/>
    <col min="163" max="163" width="13.625" bestFit="1" customWidth="1"/>
    <col min="164" max="164" width="14.75" bestFit="1" customWidth="1"/>
    <col min="165" max="165" width="13.375" bestFit="1" customWidth="1"/>
    <col min="166" max="166" width="12.375" bestFit="1" customWidth="1"/>
    <col min="167" max="167" width="14.875" bestFit="1" customWidth="1"/>
    <col min="168" max="168" width="13.25" bestFit="1" customWidth="1"/>
    <col min="169" max="169" width="14.25" bestFit="1" customWidth="1"/>
    <col min="170" max="170" width="13.375" bestFit="1" customWidth="1"/>
    <col min="171" max="171" width="16.625" bestFit="1" customWidth="1"/>
    <col min="172" max="172" width="15" bestFit="1" customWidth="1"/>
    <col min="173" max="173" width="13" bestFit="1" customWidth="1"/>
    <col min="174" max="174" width="12.5" bestFit="1" customWidth="1"/>
    <col min="175" max="175" width="12.125" bestFit="1" customWidth="1"/>
    <col min="176" max="176" width="15.125" bestFit="1" customWidth="1"/>
    <col min="177" max="178" width="14.375" bestFit="1" customWidth="1"/>
    <col min="179" max="179" width="13.5" bestFit="1" customWidth="1"/>
    <col min="180" max="180" width="11.25" bestFit="1" customWidth="1"/>
    <col min="181" max="181" width="14.625" bestFit="1" customWidth="1"/>
    <col min="182" max="182" width="14.5" bestFit="1" customWidth="1"/>
    <col min="183" max="183" width="16.375" bestFit="1" customWidth="1"/>
    <col min="184" max="184" width="13.875" bestFit="1" customWidth="1"/>
    <col min="185" max="185" width="13.5" bestFit="1" customWidth="1"/>
    <col min="186" max="186" width="16.75" bestFit="1" customWidth="1"/>
    <col min="187" max="187" width="14.625" bestFit="1" customWidth="1"/>
    <col min="188" max="188" width="17.75" bestFit="1" customWidth="1"/>
    <col min="189" max="189" width="13.75" bestFit="1" customWidth="1"/>
    <col min="190" max="190" width="12.25" bestFit="1" customWidth="1"/>
    <col min="191" max="191" width="13.125" bestFit="1" customWidth="1"/>
    <col min="192" max="192" width="12.375" bestFit="1" customWidth="1"/>
    <col min="193" max="193" width="13.625" bestFit="1" customWidth="1"/>
    <col min="194" max="194" width="12.5" bestFit="1" customWidth="1"/>
    <col min="195" max="195" width="15.125" bestFit="1" customWidth="1"/>
    <col min="196" max="196" width="16.625" bestFit="1" customWidth="1"/>
    <col min="197" max="197" width="14.5" bestFit="1" customWidth="1"/>
    <col min="198" max="198" width="12" bestFit="1" customWidth="1"/>
    <col min="199" max="199" width="13.5" bestFit="1" customWidth="1"/>
    <col min="200" max="200" width="15.75" bestFit="1" customWidth="1"/>
    <col min="201" max="201" width="10.75" bestFit="1" customWidth="1"/>
    <col min="202" max="202" width="15.625" bestFit="1" customWidth="1"/>
    <col min="203" max="203" width="16.75" bestFit="1" customWidth="1"/>
    <col min="204" max="204" width="12.5" bestFit="1" customWidth="1"/>
    <col min="205" max="205" width="12.625" bestFit="1" customWidth="1"/>
    <col min="206" max="206" width="15.25" bestFit="1" customWidth="1"/>
    <col min="207" max="207" width="14.75" bestFit="1" customWidth="1"/>
    <col min="208" max="208" width="14.125" bestFit="1" customWidth="1"/>
    <col min="209" max="209" width="16.75" bestFit="1" customWidth="1"/>
    <col min="210" max="210" width="12.75" bestFit="1" customWidth="1"/>
    <col min="211" max="211" width="11.25" bestFit="1" customWidth="1"/>
    <col min="212" max="212" width="14.5" bestFit="1" customWidth="1"/>
    <col min="213" max="213" width="10.875" bestFit="1" customWidth="1"/>
    <col min="214" max="214" width="12.25" bestFit="1" customWidth="1"/>
    <col min="215" max="215" width="14.375" bestFit="1" customWidth="1"/>
    <col min="216" max="216" width="12.75" bestFit="1" customWidth="1"/>
    <col min="217" max="217" width="13.625" bestFit="1" customWidth="1"/>
    <col min="218" max="218" width="13.75" bestFit="1" customWidth="1"/>
    <col min="219" max="219" width="13.625" bestFit="1" customWidth="1"/>
    <col min="220" max="220" width="13.125" bestFit="1" customWidth="1"/>
    <col min="221" max="221" width="13.625" bestFit="1" customWidth="1"/>
    <col min="222" max="222" width="12.125" bestFit="1" customWidth="1"/>
    <col min="223" max="223" width="12.375" bestFit="1" customWidth="1"/>
    <col min="224" max="224" width="15.75" bestFit="1" customWidth="1"/>
    <col min="225" max="225" width="8.875" customWidth="1"/>
    <col min="226" max="226" width="9.625" bestFit="1" customWidth="1"/>
    <col min="227" max="227" width="15.25" bestFit="1" customWidth="1"/>
    <col min="228" max="228" width="13.75" bestFit="1" customWidth="1"/>
    <col min="229" max="229" width="18" bestFit="1" customWidth="1"/>
    <col min="230" max="230" width="14.875" bestFit="1" customWidth="1"/>
    <col min="231" max="231" width="14.75" bestFit="1" customWidth="1"/>
    <col min="232" max="232" width="15.25" bestFit="1" customWidth="1"/>
    <col min="233" max="234" width="11.5" bestFit="1" customWidth="1"/>
    <col min="235" max="235" width="13" bestFit="1" customWidth="1"/>
    <col min="236" max="236" width="16.25" bestFit="1" customWidth="1"/>
    <col min="237" max="237" width="13" bestFit="1" customWidth="1"/>
    <col min="238" max="238" width="15.5" bestFit="1" customWidth="1"/>
    <col min="239" max="239" width="15.75" bestFit="1" customWidth="1"/>
    <col min="240" max="240" width="15.375" bestFit="1" customWidth="1"/>
    <col min="241" max="241" width="13.25" bestFit="1" customWidth="1"/>
    <col min="242" max="243" width="12.375" bestFit="1" customWidth="1"/>
    <col min="244" max="244" width="14.375" bestFit="1" customWidth="1"/>
    <col min="245" max="245" width="12.5" bestFit="1" customWidth="1"/>
    <col min="246" max="246" width="11.375" bestFit="1" customWidth="1"/>
    <col min="247" max="247" width="15.375" bestFit="1" customWidth="1"/>
    <col min="248" max="248" width="15.625" bestFit="1" customWidth="1"/>
    <col min="249" max="249" width="13.5" bestFit="1" customWidth="1"/>
    <col min="250" max="250" width="17.25" bestFit="1" customWidth="1"/>
    <col min="251" max="251" width="15" bestFit="1" customWidth="1"/>
    <col min="252" max="252" width="12.5" bestFit="1" customWidth="1"/>
    <col min="253" max="253" width="14.125" bestFit="1" customWidth="1"/>
    <col min="254" max="254" width="12.625" bestFit="1" customWidth="1"/>
    <col min="255" max="255" width="15.25" bestFit="1" customWidth="1"/>
    <col min="256" max="256" width="17.75" bestFit="1" customWidth="1"/>
    <col min="257" max="257" width="11.125" bestFit="1" customWidth="1"/>
    <col min="258" max="258" width="14" bestFit="1" customWidth="1"/>
    <col min="259" max="259" width="13.625" bestFit="1" customWidth="1"/>
    <col min="260" max="260" width="13" bestFit="1" customWidth="1"/>
    <col min="261" max="261" width="14.75" bestFit="1" customWidth="1"/>
    <col min="262" max="262" width="12.375" bestFit="1" customWidth="1"/>
    <col min="263" max="263" width="15.125" bestFit="1" customWidth="1"/>
    <col min="264" max="264" width="13.5" bestFit="1" customWidth="1"/>
    <col min="265" max="265" width="15.125" bestFit="1" customWidth="1"/>
    <col min="266" max="266" width="17.625" bestFit="1" customWidth="1"/>
    <col min="267" max="267" width="13.5" bestFit="1" customWidth="1"/>
    <col min="268" max="268" width="12.125" bestFit="1" customWidth="1"/>
    <col min="269" max="269" width="15.125" bestFit="1" customWidth="1"/>
    <col min="270" max="270" width="15.625" bestFit="1" customWidth="1"/>
    <col min="271" max="271" width="11" bestFit="1" customWidth="1"/>
    <col min="272" max="272" width="14.75" bestFit="1" customWidth="1"/>
    <col min="273" max="273" width="15.625" bestFit="1" customWidth="1"/>
    <col min="274" max="274" width="13.625" bestFit="1" customWidth="1"/>
    <col min="275" max="275" width="13.875" bestFit="1" customWidth="1"/>
    <col min="276" max="276" width="17.125" bestFit="1" customWidth="1"/>
    <col min="277" max="277" width="14.75" bestFit="1" customWidth="1"/>
    <col min="278" max="278" width="18.125" bestFit="1" customWidth="1"/>
    <col min="279" max="279" width="14.5" bestFit="1" customWidth="1"/>
    <col min="280" max="280" width="10.875" bestFit="1" customWidth="1"/>
    <col min="281" max="281" width="9.25" bestFit="1" customWidth="1"/>
    <col min="282" max="282" width="11.5" bestFit="1" customWidth="1"/>
    <col min="283" max="283" width="12.625" bestFit="1" customWidth="1"/>
    <col min="284" max="284" width="10.75" bestFit="1" customWidth="1"/>
  </cols>
  <sheetData>
    <row r="3" spans="3:4">
      <c r="C3" t="s">
        <v>313</v>
      </c>
    </row>
    <row r="6" spans="3:4">
      <c r="C6" t="s">
        <v>315</v>
      </c>
    </row>
    <row r="9" spans="3:4">
      <c r="C9" s="12" t="s">
        <v>316</v>
      </c>
      <c r="D9" t="s">
        <v>318</v>
      </c>
    </row>
    <row r="10" spans="3:4">
      <c r="C10" s="13" t="s">
        <v>27</v>
      </c>
      <c r="D10" s="15">
        <v>2308</v>
      </c>
    </row>
    <row r="11" spans="3:4">
      <c r="C11" s="13" t="s">
        <v>317</v>
      </c>
      <c r="D11" s="15">
        <v>2308</v>
      </c>
    </row>
    <row r="15" spans="3:4">
      <c r="C15" t="s">
        <v>314</v>
      </c>
    </row>
    <row r="17" spans="3:4">
      <c r="C17" s="12" t="s">
        <v>16</v>
      </c>
      <c r="D17" t="s">
        <v>27</v>
      </c>
    </row>
    <row r="19" spans="3:4">
      <c r="C19" s="12" t="s">
        <v>316</v>
      </c>
      <c r="D19" t="s">
        <v>318</v>
      </c>
    </row>
    <row r="20" spans="3:4">
      <c r="C20" s="13" t="s">
        <v>23</v>
      </c>
      <c r="D20" s="15">
        <v>806</v>
      </c>
    </row>
    <row r="21" spans="3:4">
      <c r="C21" s="13" t="s">
        <v>19</v>
      </c>
      <c r="D21" s="15">
        <v>1502</v>
      </c>
    </row>
    <row r="22" spans="3:4">
      <c r="C22" s="13" t="s">
        <v>317</v>
      </c>
      <c r="D22" s="15">
        <v>2308</v>
      </c>
    </row>
    <row r="24" spans="3:4">
      <c r="C24" t="s">
        <v>323</v>
      </c>
    </row>
    <row r="27" spans="3:4">
      <c r="C27" s="12" t="s">
        <v>16</v>
      </c>
      <c r="D27" t="s">
        <v>27</v>
      </c>
    </row>
    <row r="29" spans="3:4">
      <c r="C29" s="12" t="s">
        <v>316</v>
      </c>
      <c r="D29" t="s">
        <v>321</v>
      </c>
    </row>
    <row r="30" spans="3:4">
      <c r="C30" s="13" t="s">
        <v>22</v>
      </c>
      <c r="D30" s="15">
        <v>0</v>
      </c>
    </row>
    <row r="31" spans="3:4">
      <c r="C31" s="13" t="s">
        <v>26</v>
      </c>
      <c r="D31" s="15">
        <v>0</v>
      </c>
    </row>
    <row r="32" spans="3:4">
      <c r="C32" s="13" t="s">
        <v>18</v>
      </c>
      <c r="D32" s="15">
        <v>990</v>
      </c>
    </row>
    <row r="33" spans="3:6">
      <c r="C33" s="13" t="s">
        <v>317</v>
      </c>
      <c r="D33" s="15">
        <v>990</v>
      </c>
      <c r="F33" s="17">
        <f>GETPIVOTDATA("EA Play Season Pass
Price",$C$29)</f>
        <v>990</v>
      </c>
    </row>
    <row r="36" spans="3:6">
      <c r="C36" t="s">
        <v>324</v>
      </c>
    </row>
    <row r="39" spans="3:6">
      <c r="C39" s="12" t="s">
        <v>16</v>
      </c>
      <c r="D39" t="s">
        <v>27</v>
      </c>
    </row>
    <row r="41" spans="3:6">
      <c r="C41" s="12" t="s">
        <v>316</v>
      </c>
      <c r="D41" t="s">
        <v>322</v>
      </c>
    </row>
    <row r="42" spans="3:6">
      <c r="C42" s="13" t="s">
        <v>22</v>
      </c>
      <c r="D42" s="15">
        <v>0</v>
      </c>
    </row>
    <row r="43" spans="3:6">
      <c r="C43" s="13" t="s">
        <v>26</v>
      </c>
      <c r="D43" s="15">
        <v>480</v>
      </c>
    </row>
    <row r="44" spans="3:6">
      <c r="C44" s="13" t="s">
        <v>18</v>
      </c>
      <c r="D44" s="15">
        <v>660</v>
      </c>
    </row>
    <row r="45" spans="3:6">
      <c r="C45" s="13" t="s">
        <v>317</v>
      </c>
      <c r="D45" s="15">
        <v>1140</v>
      </c>
      <c r="F45" s="17">
        <f>GETPIVOTDATA("Minecraft Season Pass Price",$C$41)</f>
        <v>1140</v>
      </c>
    </row>
    <row r="47" spans="3:6">
      <c r="C47" t="s">
        <v>325</v>
      </c>
    </row>
    <row r="50" spans="3:4">
      <c r="C50" s="12" t="s">
        <v>16</v>
      </c>
      <c r="D50" t="s">
        <v>24</v>
      </c>
    </row>
    <row r="52" spans="3:4">
      <c r="C52" s="12" t="s">
        <v>316</v>
      </c>
      <c r="D52" t="s">
        <v>318</v>
      </c>
    </row>
    <row r="53" spans="3:4">
      <c r="C53" s="13" t="s">
        <v>23</v>
      </c>
      <c r="D53" s="15">
        <v>217</v>
      </c>
    </row>
    <row r="54" spans="3:4">
      <c r="C54" s="14" t="s">
        <v>23</v>
      </c>
      <c r="D54" s="15">
        <v>95</v>
      </c>
    </row>
    <row r="55" spans="3:4">
      <c r="C55" s="14" t="s">
        <v>19</v>
      </c>
      <c r="D55" s="15">
        <v>122</v>
      </c>
    </row>
    <row r="56" spans="3:4">
      <c r="C56" s="13" t="s">
        <v>19</v>
      </c>
      <c r="D56" s="15">
        <v>1537</v>
      </c>
    </row>
    <row r="57" spans="3:4">
      <c r="C57" s="14" t="s">
        <v>23</v>
      </c>
      <c r="D57" s="15">
        <v>473</v>
      </c>
    </row>
    <row r="58" spans="3:4">
      <c r="C58" s="14" t="s">
        <v>19</v>
      </c>
      <c r="D58" s="15">
        <v>1064</v>
      </c>
    </row>
    <row r="59" spans="3:4">
      <c r="C59" s="13" t="s">
        <v>317</v>
      </c>
      <c r="D59" s="15">
        <v>1754</v>
      </c>
    </row>
    <row r="62" spans="3:4">
      <c r="C62" t="s">
        <v>326</v>
      </c>
    </row>
    <row r="63" spans="3:4">
      <c r="C63" s="12" t="s">
        <v>16</v>
      </c>
      <c r="D63" t="s">
        <v>27</v>
      </c>
    </row>
    <row r="65" spans="3:5">
      <c r="C65" s="12" t="s">
        <v>316</v>
      </c>
      <c r="D65" t="s">
        <v>329</v>
      </c>
      <c r="E65" t="s">
        <v>328</v>
      </c>
    </row>
    <row r="66" spans="3:5">
      <c r="C66" s="13" t="s">
        <v>23</v>
      </c>
      <c r="D66" s="15">
        <v>333</v>
      </c>
      <c r="E66" s="15">
        <v>527</v>
      </c>
    </row>
    <row r="67" spans="3:5">
      <c r="C67" s="13" t="s">
        <v>19</v>
      </c>
      <c r="D67" s="15">
        <v>364</v>
      </c>
      <c r="E67" s="15">
        <v>1781</v>
      </c>
    </row>
    <row r="68" spans="3:5">
      <c r="C68" s="13" t="s">
        <v>317</v>
      </c>
      <c r="D68" s="15">
        <v>697</v>
      </c>
      <c r="E68" s="15">
        <v>2308</v>
      </c>
    </row>
    <row r="75" spans="3:5">
      <c r="C75" t="s">
        <v>327</v>
      </c>
    </row>
    <row r="79" spans="3:5">
      <c r="C79" s="12" t="s">
        <v>316</v>
      </c>
      <c r="D79" t="s">
        <v>319</v>
      </c>
    </row>
    <row r="80" spans="3:5">
      <c r="C80" s="13" t="s">
        <v>24</v>
      </c>
      <c r="D80" s="15">
        <v>24.704225352112676</v>
      </c>
    </row>
    <row r="81" spans="3:4">
      <c r="C81" s="14" t="s">
        <v>23</v>
      </c>
      <c r="D81" s="15">
        <v>5</v>
      </c>
    </row>
    <row r="82" spans="3:4">
      <c r="C82" s="14" t="s">
        <v>19</v>
      </c>
      <c r="D82" s="15">
        <v>34.765957446808514</v>
      </c>
    </row>
    <row r="83" spans="3:4">
      <c r="C83" s="13" t="s">
        <v>317</v>
      </c>
      <c r="D83" s="15">
        <v>24.704225352112676</v>
      </c>
    </row>
  </sheetData>
  <pageMargins left="0.511811024" right="0.511811024" top="0.78740157499999996" bottom="0.78740157499999996" header="0.31496062000000002" footer="0.31496062000000002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showGridLines="0" showRowColHeaders="0" tabSelected="1" zoomScaleNormal="100" workbookViewId="0">
      <selection activeCell="E39" sqref="E39"/>
    </sheetView>
  </sheetViews>
  <sheetFormatPr defaultRowHeight="14.25"/>
  <cols>
    <col min="1" max="1" width="28.125" style="18" customWidth="1"/>
    <col min="2" max="2" width="3.625" style="16" customWidth="1"/>
    <col min="3" max="3" width="6.625" style="16" customWidth="1"/>
    <col min="4" max="11" width="9" style="16"/>
    <col min="12" max="12" width="6.625" style="16" customWidth="1"/>
    <col min="13" max="16384" width="9" style="16"/>
  </cols>
  <sheetData>
    <row r="1" spans="1:16" customFormat="1">
      <c r="A1" s="18"/>
    </row>
    <row r="2" spans="1:16" customFormat="1">
      <c r="A2" s="18"/>
    </row>
    <row r="3" spans="1:16" customFormat="1">
      <c r="A3" s="18"/>
    </row>
    <row r="4" spans="1:16" customFormat="1" ht="20.25" thickBot="1">
      <c r="A4" s="18"/>
      <c r="C4" s="19"/>
      <c r="D4" s="21" t="s">
        <v>320</v>
      </c>
      <c r="E4" s="19"/>
      <c r="F4" s="19"/>
      <c r="G4" s="19"/>
      <c r="H4" s="19"/>
      <c r="I4" s="20"/>
      <c r="J4" s="20"/>
      <c r="K4" s="20"/>
      <c r="L4" s="20"/>
      <c r="M4" s="20"/>
      <c r="N4" s="20"/>
      <c r="O4" s="20"/>
      <c r="P4" s="20"/>
    </row>
    <row r="5" spans="1:16" customFormat="1" ht="15.75" customHeight="1" thickTop="1">
      <c r="A5" s="1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9483571-f922-4e8e-9c1c-26f0a2252132"/>
    <ds:schemaRef ds:uri="851b35d3-0456-4d6a-bc2f-da927e91d1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LIDIA</cp:lastModifiedBy>
  <dcterms:created xsi:type="dcterms:W3CDTF">2024-12-19T13:13:10Z</dcterms:created>
  <dcterms:modified xsi:type="dcterms:W3CDTF">2026-02-03T19:13:28Z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